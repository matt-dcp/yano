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aluation Sensitivity" sheetId="2" state="visible" r:id="rId2"/>
    <sheet xmlns:r="http://schemas.openxmlformats.org/officeDocument/2006/relationships" name="Max Loan Capacity" sheetId="3" state="visible" r:id="rId3"/>
    <sheet xmlns:r="http://schemas.openxmlformats.org/officeDocument/2006/relationships" name="Lender Comparison" sheetId="4" state="visible" r:id="rId4"/>
    <sheet xmlns:r="http://schemas.openxmlformats.org/officeDocument/2006/relationships" name="Concession Le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002D2D2D"/>
      <sz val="18"/>
    </font>
    <font>
      <name val="Arial"/>
      <i val="1"/>
      <color rgb="00999999"/>
      <sz val="9"/>
    </font>
    <font>
      <name val="Arial"/>
      <b val="1"/>
      <color rgb="002D2D2D"/>
      <sz val="12"/>
    </font>
    <font>
      <name val="Arial"/>
      <color rgb="00333333"/>
      <sz val="10"/>
    </font>
    <font>
      <name val="Arial"/>
      <b val="1"/>
      <color rgb="000000FF"/>
      <sz val="10"/>
    </font>
    <font>
      <name val="Arial"/>
      <b val="1"/>
      <color rgb="00333333"/>
      <sz val="10"/>
    </font>
    <font>
      <name val="Arial"/>
      <b val="1"/>
      <color rgb="00FFFFFF"/>
      <sz val="11"/>
    </font>
    <font>
      <name val="Arial"/>
      <b val="1"/>
      <color rgb="002D2D2D"/>
      <sz val="16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5ECD7"/>
      </patternFill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medium">
        <color rgb="002D2D2D"/>
      </bottom>
    </border>
    <border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6" fillId="0" borderId="0" pivotButton="0" quotePrefix="0" xfId="0"/>
    <xf numFmtId="164" fontId="6" fillId="3" borderId="0" pivotButton="0" quotePrefix="0" xfId="0"/>
    <xf numFmtId="164" fontId="6" fillId="0" borderId="0" pivotButton="0" quotePrefix="0" xfId="0"/>
    <xf numFmtId="10" fontId="5" fillId="2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4" fillId="0" borderId="2" pivotButton="0" quotePrefix="0" xfId="0"/>
    <xf numFmtId="164" fontId="4" fillId="0" borderId="2" pivotButton="0" quotePrefix="0" xfId="0"/>
    <xf numFmtId="0" fontId="2" fillId="0" borderId="2" pivotButton="0" quotePrefix="0" xfId="0"/>
    <xf numFmtId="10" fontId="4" fillId="0" borderId="2" pivotButton="0" quotePrefix="0" xfId="0"/>
    <xf numFmtId="0" fontId="8" fillId="0" borderId="0" pivotButton="0" quotePrefix="0" xfId="0"/>
    <xf numFmtId="0" fontId="7" fillId="4" borderId="0" applyAlignment="1" pivotButton="0" quotePrefix="0" xfId="0">
      <alignment horizontal="center" vertical="center"/>
    </xf>
    <xf numFmtId="10" fontId="7" fillId="4" borderId="0" applyAlignment="1" pivotButton="0" quotePrefix="0" xfId="0">
      <alignment horizontal="center"/>
    </xf>
    <xf numFmtId="0" fontId="6" fillId="3" borderId="0" pivotButton="0" quotePrefix="0" xfId="0"/>
    <xf numFmtId="164" fontId="4" fillId="3" borderId="2" pivotButton="0" quotePrefix="0" xfId="0"/>
    <xf numFmtId="0" fontId="3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164" fontId="0" fillId="0" borderId="2" pivotButton="0" quotePrefix="0" xfId="0"/>
    <xf numFmtId="164" fontId="6" fillId="3" borderId="2" pivotButton="0" quotePrefix="0" xfId="0"/>
    <xf numFmtId="0" fontId="4" fillId="0" borderId="2" applyAlignment="1" pivotButton="0" quotePrefix="0" xfId="0">
      <alignment horizontal="center"/>
    </xf>
    <xf numFmtId="0" fontId="0" fillId="4" borderId="0" pivotButton="0" quotePrefix="0" xfId="0"/>
    <xf numFmtId="0" fontId="7" fillId="4" borderId="0" applyAlignment="1" pivotButton="0" quotePrefix="0" xfId="0">
      <alignment horizontal="center" wrapText="1"/>
    </xf>
    <xf numFmtId="0" fontId="6" fillId="5" borderId="0" pivotButton="0" quotePrefix="0" xfId="0"/>
    <xf numFmtId="0" fontId="0" fillId="5" borderId="0" pivotButton="0" quotePrefix="0" xfId="0"/>
    <xf numFmtId="164" fontId="6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0" fontId="6" fillId="0" borderId="0" applyAlignment="1" pivotButton="0" quotePrefix="0" xfId="0">
      <alignment horizontal="right"/>
    </xf>
    <xf numFmtId="0" fontId="6" fillId="3" borderId="2" pivotButton="0" quotePrefix="0" xfId="0"/>
    <xf numFmtId="0" fontId="0" fillId="0" borderId="2" applyAlignment="1" pivotButton="0" quotePrefix="0" xfId="0">
      <alignment horizontal="center"/>
    </xf>
    <xf numFmtId="164" fontId="6" fillId="6" borderId="2" pivotButton="0" quotePrefix="0" xfId="0"/>
    <xf numFmtId="164" fontId="0" fillId="6" borderId="2" pivotButton="0" quotePrefix="0" xfId="0"/>
    <xf numFmtId="165" fontId="0" fillId="6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A55A"/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  <col width="32" customWidth="1" min="4" max="4"/>
    <col width="18" customWidth="1" min="5" max="5"/>
  </cols>
  <sheetData>
    <row r="1">
      <c r="A1" s="1" t="inlineStr">
        <is>
          <t>Casa Yano - Loan Evaluator</t>
        </is>
      </c>
    </row>
    <row r="2">
      <c r="A2" s="2" t="inlineStr">
        <is>
          <t>Identify optimal loan structure and quantify value of lender concessions</t>
        </is>
      </c>
    </row>
    <row r="3">
      <c r="A3" s="2" t="inlineStr">
        <is>
          <t>Built from 2026-07-07 pro forma. Blue cells are inputs - adjust to test scenarios.</t>
        </is>
      </c>
    </row>
    <row r="5">
      <c r="A5" s="3" t="inlineStr">
        <is>
          <t>PRO FORMA INPUTS</t>
        </is>
      </c>
      <c r="B5" s="4" t="n"/>
    </row>
    <row r="6">
      <c r="A6" s="5" t="inlineStr">
        <is>
          <t>Projected 2026 NOI (after fixed costs)</t>
        </is>
      </c>
      <c r="B6" s="6" t="n">
        <v>347853</v>
      </c>
    </row>
    <row r="7">
      <c r="A7" s="5" t="inlineStr">
        <is>
          <t xml:space="preserve">  NOI scenario adjustment</t>
        </is>
      </c>
      <c r="B7" s="7" t="n">
        <v>1</v>
      </c>
      <c r="E7" s="2" t="inlineStr">
        <is>
          <t>(0% = current pro forma; +10% = optimistic case)</t>
        </is>
      </c>
    </row>
    <row r="8">
      <c r="A8" s="8" t="inlineStr">
        <is>
          <t xml:space="preserve">  Adjusted NOI</t>
        </is>
      </c>
      <c r="B8" s="9">
        <f>B6*B7</f>
        <v/>
      </c>
    </row>
    <row r="10">
      <c r="A10" s="3" t="inlineStr">
        <is>
          <t>PROPERTY ASSUMPTIONS</t>
        </is>
      </c>
      <c r="B10" s="4" t="n"/>
    </row>
    <row r="11">
      <c r="A11" s="5" t="inlineStr">
        <is>
          <t>Total Basis (per QBO)</t>
        </is>
      </c>
      <c r="B11" s="6" t="n">
        <v>4200000</v>
      </c>
    </row>
    <row r="12">
      <c r="A12" s="5" t="inlineStr">
        <is>
          <t>Existing Debt (private loan, 9.5% IO)</t>
        </is>
      </c>
      <c r="B12" s="6" t="n">
        <v>1500000</v>
      </c>
    </row>
    <row r="13">
      <c r="A13" s="5" t="inlineStr">
        <is>
          <t>Existing Equity</t>
        </is>
      </c>
      <c r="B13" s="10">
        <f>Dashboard!$B$11-Dashboard!$B$12</f>
        <v/>
      </c>
    </row>
    <row r="15">
      <c r="A15" s="3" t="inlineStr">
        <is>
          <t>VALUATION &amp; UNDERWRITING ASSUMPTIONS</t>
        </is>
      </c>
      <c r="B15" s="4" t="n"/>
    </row>
    <row r="16">
      <c r="A16" s="5" t="inlineStr">
        <is>
          <t>Cap Rate (for valuation - center of sensitivity)</t>
        </is>
      </c>
      <c r="B16" s="11" t="n">
        <v>0.06</v>
      </c>
    </row>
    <row r="17">
      <c r="A17" s="8" t="inlineStr">
        <is>
          <t>Implied Property Value</t>
        </is>
      </c>
      <c r="B17" s="9">
        <f>Dashboard!$B$8/Dashboard!$B$16</f>
        <v/>
      </c>
    </row>
    <row r="19">
      <c r="A19" s="3" t="inlineStr">
        <is>
          <t>LENDER SCENARIOS (CURRENT TERMS)</t>
        </is>
      </c>
      <c r="B19" s="4" t="n"/>
      <c r="C19" s="4" t="n"/>
      <c r="D19" s="4" t="n"/>
      <c r="E19" s="4" t="n"/>
    </row>
    <row r="20">
      <c r="A20" s="12" t="inlineStr">
        <is>
          <t>Lender / Option</t>
        </is>
      </c>
      <c r="B20" s="12" t="inlineStr">
        <is>
          <t>Loan Amount</t>
        </is>
      </c>
      <c r="C20" s="12" t="inlineStr">
        <is>
          <t>Notes</t>
        </is>
      </c>
      <c r="D20" s="12" t="inlineStr">
        <is>
          <t>Rate</t>
        </is>
      </c>
      <c r="E20" s="12" t="inlineStr">
        <is>
          <t>Amort</t>
        </is>
      </c>
    </row>
    <row r="21">
      <c r="A21" s="13" t="inlineStr">
        <is>
          <t>Ben / MBT - Option 1</t>
        </is>
      </c>
      <c r="B21" s="14" t="n">
        <v>2300000</v>
      </c>
      <c r="C21" s="15" t="inlineStr">
        <is>
          <t>1.35x DSCR / 55% LTV / 0.50% fee / Day-1 amort</t>
        </is>
      </c>
      <c r="D21" s="16" t="n">
        <v>0.0625</v>
      </c>
      <c r="E21" s="13" t="n">
        <v>25</v>
      </c>
    </row>
    <row r="22">
      <c r="A22" s="13" t="inlineStr">
        <is>
          <t>Ben / MBT - Option 2 (with earn-out)</t>
        </is>
      </c>
      <c r="B22" s="14" t="n">
        <v>2800000</v>
      </c>
      <c r="C22" s="15" t="inlineStr">
        <is>
          <t>1.35x DSCR / 60% LTV / 0.75% fee / 12mo IO</t>
        </is>
      </c>
      <c r="D22" s="16" t="n">
        <v>0.064</v>
      </c>
      <c r="E22" s="13" t="n">
        <v>25</v>
      </c>
    </row>
    <row r="23">
      <c r="A23" s="13" t="inlineStr">
        <is>
          <t>ServisFirst (current indicative)</t>
        </is>
      </c>
      <c r="B23" s="13" t="n"/>
      <c r="C23" s="15" t="inlineStr">
        <is>
          <t>1.50x DSCR / 75% LTV / Earn-out 2-phase TBD</t>
        </is>
      </c>
      <c r="D23" s="16" t="n">
        <v>0.065</v>
      </c>
      <c r="E23" s="13" t="n">
        <v>20</v>
      </c>
    </row>
    <row r="26">
      <c r="A26" s="3" t="inlineStr">
        <is>
          <t>DECISION SUPPORT - SEE OTHER TABS FOR DETAIL</t>
        </is>
      </c>
      <c r="B26" s="4" t="n"/>
      <c r="C26" s="4" t="n"/>
      <c r="D26" s="4" t="n"/>
      <c r="E26" s="4" t="n"/>
    </row>
    <row r="27">
      <c r="A27" s="8" t="inlineStr">
        <is>
          <t>Tab 2: Valuation Sensitivity</t>
        </is>
      </c>
      <c r="B27" s="2" t="inlineStr">
        <is>
          <t>Property value at various NOI / cap rate combinations</t>
        </is>
      </c>
    </row>
    <row r="28">
      <c r="A28" s="8" t="inlineStr">
        <is>
          <t>Tab 3: Max Loan Capacity</t>
        </is>
      </c>
      <c r="B28" s="2" t="inlineStr">
        <is>
          <t>Maximum loan by LTV constraint, DSCR constraint, and binding factor</t>
        </is>
      </c>
    </row>
    <row r="29">
      <c r="A29" s="8" t="inlineStr">
        <is>
          <t>Tab 4: Lender Comparison</t>
        </is>
      </c>
      <c r="B29" s="2" t="inlineStr">
        <is>
          <t>Side-by-side analysis of all three lender scenarios</t>
        </is>
      </c>
    </row>
    <row r="30">
      <c r="A30" s="8" t="inlineStr">
        <is>
          <t>Tab 5: Concession Levers</t>
        </is>
      </c>
      <c r="B30" s="2" t="inlineStr">
        <is>
          <t>How much each lender concession is worth in additional proceeds</t>
        </is>
      </c>
    </row>
  </sheetData>
  <mergeCells count="7">
    <mergeCell ref="B27:E27"/>
    <mergeCell ref="A2:E2"/>
    <mergeCell ref="B30:E30"/>
    <mergeCell ref="B29:E29"/>
    <mergeCell ref="A1:E1"/>
    <mergeCell ref="B28:E2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8B2D"/>
    <outlinePr summaryBelow="1" summaryRight="1"/>
    <pageSetUpPr/>
  </sheetPr>
  <dimension ref="A1:H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7" t="inlineStr">
        <is>
          <t>Property Valuation Sensitivity</t>
        </is>
      </c>
    </row>
    <row r="2">
      <c r="A2" s="2" t="inlineStr">
        <is>
          <t>Implied property value at various NOI scenarios and cap rates</t>
        </is>
      </c>
    </row>
    <row r="3">
      <c r="A3" s="2" t="inlineStr">
        <is>
          <t>Formula: Property Value = NOI / Cap Rate</t>
        </is>
      </c>
    </row>
    <row r="5">
      <c r="A5" s="18" t="inlineStr">
        <is>
          <t>NOI Scenario</t>
        </is>
      </c>
      <c r="B5" s="19" t="n">
        <v>0.045</v>
      </c>
      <c r="C5" s="19" t="n">
        <v>0.05</v>
      </c>
      <c r="D5" s="19" t="n">
        <v>0.055</v>
      </c>
      <c r="E5" s="19" t="n">
        <v>0.06</v>
      </c>
      <c r="F5" s="19" t="n">
        <v>0.065</v>
      </c>
      <c r="G5" s="19" t="n">
        <v>0.07000000000000001</v>
      </c>
      <c r="H5" s="19" t="n">
        <v>0.075</v>
      </c>
    </row>
    <row r="6">
      <c r="A6" s="8" t="inlineStr">
        <is>
          <t>Conservative (-10%)</t>
        </is>
      </c>
      <c r="B6" s="14">
        <f>Dashboard!$B$6*0.9/0.045</f>
        <v/>
      </c>
      <c r="C6" s="14">
        <f>Dashboard!$B$6*0.9/0.05</f>
        <v/>
      </c>
      <c r="D6" s="14">
        <f>Dashboard!$B$6*0.9/0.055</f>
        <v/>
      </c>
      <c r="E6" s="14">
        <f>Dashboard!$B$6*0.9/0.06</f>
        <v/>
      </c>
      <c r="F6" s="14">
        <f>Dashboard!$B$6*0.9/0.065</f>
        <v/>
      </c>
      <c r="G6" s="14">
        <f>Dashboard!$B$6*0.9/0.07</f>
        <v/>
      </c>
      <c r="H6" s="14">
        <f>Dashboard!$B$6*0.9/0.075</f>
        <v/>
      </c>
    </row>
    <row r="7">
      <c r="A7" s="8" t="inlineStr">
        <is>
          <t>Conservative (-5%)</t>
        </is>
      </c>
      <c r="B7" s="14">
        <f>Dashboard!$B$6*0.95/0.045</f>
        <v/>
      </c>
      <c r="C7" s="14">
        <f>Dashboard!$B$6*0.95/0.05</f>
        <v/>
      </c>
      <c r="D7" s="14">
        <f>Dashboard!$B$6*0.95/0.055</f>
        <v/>
      </c>
      <c r="E7" s="14">
        <f>Dashboard!$B$6*0.95/0.06</f>
        <v/>
      </c>
      <c r="F7" s="14">
        <f>Dashboard!$B$6*0.95/0.065</f>
        <v/>
      </c>
      <c r="G7" s="14">
        <f>Dashboard!$B$6*0.95/0.07</f>
        <v/>
      </c>
      <c r="H7" s="14">
        <f>Dashboard!$B$6*0.95/0.075</f>
        <v/>
      </c>
    </row>
    <row r="8">
      <c r="A8" s="20" t="inlineStr">
        <is>
          <t>Current Pro Forma</t>
        </is>
      </c>
      <c r="B8" s="21">
        <f>Dashboard!$B$6*1.0/0.045</f>
        <v/>
      </c>
      <c r="C8" s="21">
        <f>Dashboard!$B$6*1.0/0.05</f>
        <v/>
      </c>
      <c r="D8" s="21">
        <f>Dashboard!$B$6*1.0/0.055</f>
        <v/>
      </c>
      <c r="E8" s="21">
        <f>Dashboard!$B$6*1.0/0.06</f>
        <v/>
      </c>
      <c r="F8" s="21">
        <f>Dashboard!$B$6*1.0/0.065</f>
        <v/>
      </c>
      <c r="G8" s="21">
        <f>Dashboard!$B$6*1.0/0.07</f>
        <v/>
      </c>
      <c r="H8" s="21">
        <f>Dashboard!$B$6*1.0/0.075</f>
        <v/>
      </c>
    </row>
    <row r="9">
      <c r="A9" s="8" t="inlineStr">
        <is>
          <t>Modest Beat (+5%)</t>
        </is>
      </c>
      <c r="B9" s="14">
        <f>Dashboard!$B$6*1.05/0.045</f>
        <v/>
      </c>
      <c r="C9" s="14">
        <f>Dashboard!$B$6*1.05/0.05</f>
        <v/>
      </c>
      <c r="D9" s="14">
        <f>Dashboard!$B$6*1.05/0.055</f>
        <v/>
      </c>
      <c r="E9" s="14">
        <f>Dashboard!$B$6*1.05/0.06</f>
        <v/>
      </c>
      <c r="F9" s="14">
        <f>Dashboard!$B$6*1.05/0.065</f>
        <v/>
      </c>
      <c r="G9" s="14">
        <f>Dashboard!$B$6*1.05/0.07</f>
        <v/>
      </c>
      <c r="H9" s="14">
        <f>Dashboard!$B$6*1.05/0.075</f>
        <v/>
      </c>
    </row>
    <row r="10">
      <c r="A10" s="8" t="inlineStr">
        <is>
          <t>Strong Beat (+10%)</t>
        </is>
      </c>
      <c r="B10" s="14">
        <f>Dashboard!$B$6*1.1/0.045</f>
        <v/>
      </c>
      <c r="C10" s="14">
        <f>Dashboard!$B$6*1.1/0.05</f>
        <v/>
      </c>
      <c r="D10" s="14">
        <f>Dashboard!$B$6*1.1/0.055</f>
        <v/>
      </c>
      <c r="E10" s="14">
        <f>Dashboard!$B$6*1.1/0.06</f>
        <v/>
      </c>
      <c r="F10" s="14">
        <f>Dashboard!$B$6*1.1/0.065</f>
        <v/>
      </c>
      <c r="G10" s="14">
        <f>Dashboard!$B$6*1.1/0.07</f>
        <v/>
      </c>
      <c r="H10" s="14">
        <f>Dashboard!$B$6*1.1/0.075</f>
        <v/>
      </c>
    </row>
    <row r="11">
      <c r="A11" s="8" t="inlineStr">
        <is>
          <t>Bull Case (+15%)</t>
        </is>
      </c>
      <c r="B11" s="14">
        <f>Dashboard!$B$6*1.15/0.045</f>
        <v/>
      </c>
      <c r="C11" s="14">
        <f>Dashboard!$B$6*1.15/0.05</f>
        <v/>
      </c>
      <c r="D11" s="14">
        <f>Dashboard!$B$6*1.15/0.055</f>
        <v/>
      </c>
      <c r="E11" s="14">
        <f>Dashboard!$B$6*1.15/0.06</f>
        <v/>
      </c>
      <c r="F11" s="14">
        <f>Dashboard!$B$6*1.15/0.065</f>
        <v/>
      </c>
      <c r="G11" s="14">
        <f>Dashboard!$B$6*1.15/0.07</f>
        <v/>
      </c>
      <c r="H11" s="14">
        <f>Dashboard!$B$6*1.15/0.075</f>
        <v/>
      </c>
    </row>
    <row r="12">
      <c r="A12" s="8" t="inlineStr">
        <is>
          <t>Bull Case (+20%)</t>
        </is>
      </c>
      <c r="B12" s="14">
        <f>Dashboard!$B$6*1.2/0.045</f>
        <v/>
      </c>
      <c r="C12" s="14">
        <f>Dashboard!$B$6*1.2/0.05</f>
        <v/>
      </c>
      <c r="D12" s="14">
        <f>Dashboard!$B$6*1.2/0.055</f>
        <v/>
      </c>
      <c r="E12" s="14">
        <f>Dashboard!$B$6*1.2/0.06</f>
        <v/>
      </c>
      <c r="F12" s="14">
        <f>Dashboard!$B$6*1.2/0.065</f>
        <v/>
      </c>
      <c r="G12" s="14">
        <f>Dashboard!$B$6*1.2/0.07</f>
        <v/>
      </c>
      <c r="H12" s="14">
        <f>Dashboard!$B$6*1.2/0.075</f>
        <v/>
      </c>
    </row>
    <row r="15">
      <c r="A15" s="22" t="inlineStr">
        <is>
          <t>NOTES</t>
        </is>
      </c>
    </row>
    <row r="16">
      <c r="A16" s="2" t="inlineStr">
        <is>
          <t>- 6.0% cap rate is reasonable for SB STR with strong location and renovation</t>
        </is>
      </c>
    </row>
    <row r="17">
      <c r="A17" s="2" t="inlineStr">
        <is>
          <t>- Lender appraisers typically use 5.5% - 6.5% range for SB lodging assets</t>
        </is>
      </c>
    </row>
    <row r="18">
      <c r="A18" s="2" t="inlineStr">
        <is>
          <t>- Higher cap rate = more conservative valuation (lower value)</t>
        </is>
      </c>
    </row>
  </sheetData>
  <mergeCells count="6">
    <mergeCell ref="A18:H18"/>
    <mergeCell ref="A3:H3"/>
    <mergeCell ref="A16:H16"/>
    <mergeCell ref="A2:H2"/>
    <mergeCell ref="A1:H1"/>
    <mergeCell ref="A17:H17"/>
  </mergeCells>
  <conditionalFormatting sqref="B6:H12">
    <cfRule type="colorScale" priority="1">
      <colorScale>
        <cfvo type="min"/>
        <cfvo type="percentile" val="50"/>
        <cfvo type="max"/>
        <color rgb="00FFEBEE"/>
        <color rgb="00FFFDE7"/>
        <color rgb="00E8F5E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7" t="inlineStr">
        <is>
          <t>Maximum Loan Capacity Analysis</t>
        </is>
      </c>
    </row>
    <row r="2">
      <c r="A2" s="2" t="inlineStr">
        <is>
          <t>Max loan by LTV constraint, DSCR constraint, and binding factor (lesser of two)</t>
        </is>
      </c>
    </row>
    <row r="4">
      <c r="A4" s="3" t="inlineStr">
        <is>
          <t>MAX LOAN BY LTV (using current pro forma NOI)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23" t="inlineStr">
        <is>
          <t>Cap Rate Used</t>
        </is>
      </c>
      <c r="B5" s="23" t="inlineStr">
        <is>
          <t>50% LTV</t>
        </is>
      </c>
      <c r="C5" s="23" t="inlineStr">
        <is>
          <t>55% LTV</t>
        </is>
      </c>
      <c r="D5" s="23" t="inlineStr">
        <is>
          <t>60% LTV</t>
        </is>
      </c>
      <c r="E5" s="23" t="inlineStr">
        <is>
          <t>65% LTV</t>
        </is>
      </c>
      <c r="F5" s="23" t="inlineStr">
        <is>
          <t>70% LTV</t>
        </is>
      </c>
      <c r="G5" s="23" t="inlineStr">
        <is>
          <t>75% LTV</t>
        </is>
      </c>
    </row>
    <row r="6">
      <c r="A6" s="8" t="inlineStr">
        <is>
          <t>5.5% cap</t>
        </is>
      </c>
      <c r="B6" s="14">
        <f>Dashboard!$B$8/0.055*0.5</f>
        <v/>
      </c>
      <c r="C6" s="14">
        <f>Dashboard!$B$8/0.055*0.55</f>
        <v/>
      </c>
      <c r="D6" s="14">
        <f>Dashboard!$B$8/0.055*0.6</f>
        <v/>
      </c>
      <c r="E6" s="14">
        <f>Dashboard!$B$8/0.055*0.65</f>
        <v/>
      </c>
      <c r="F6" s="14">
        <f>Dashboard!$B$8/0.055*0.7</f>
        <v/>
      </c>
      <c r="G6" s="14">
        <f>Dashboard!$B$8/0.055*0.75</f>
        <v/>
      </c>
    </row>
    <row r="7">
      <c r="A7" s="8" t="inlineStr">
        <is>
          <t>6.0% cap</t>
        </is>
      </c>
      <c r="B7" s="14">
        <f>Dashboard!$B$8/0.06*0.5</f>
        <v/>
      </c>
      <c r="C7" s="14">
        <f>Dashboard!$B$8/0.06*0.55</f>
        <v/>
      </c>
      <c r="D7" s="14">
        <f>Dashboard!$B$8/0.06*0.6</f>
        <v/>
      </c>
      <c r="E7" s="14">
        <f>Dashboard!$B$8/0.06*0.65</f>
        <v/>
      </c>
      <c r="F7" s="14">
        <f>Dashboard!$B$8/0.06*0.7</f>
        <v/>
      </c>
      <c r="G7" s="14">
        <f>Dashboard!$B$8/0.06*0.75</f>
        <v/>
      </c>
    </row>
    <row r="8">
      <c r="A8" s="8" t="inlineStr">
        <is>
          <t>6.5% cap</t>
        </is>
      </c>
      <c r="B8" s="14">
        <f>Dashboard!$B$8/0.065*0.5</f>
        <v/>
      </c>
      <c r="C8" s="14">
        <f>Dashboard!$B$8/0.065*0.55</f>
        <v/>
      </c>
      <c r="D8" s="14">
        <f>Dashboard!$B$8/0.065*0.6</f>
        <v/>
      </c>
      <c r="E8" s="14">
        <f>Dashboard!$B$8/0.065*0.65</f>
        <v/>
      </c>
      <c r="F8" s="14">
        <f>Dashboard!$B$8/0.065*0.7</f>
        <v/>
      </c>
      <c r="G8" s="14">
        <f>Dashboard!$B$8/0.065*0.75</f>
        <v/>
      </c>
    </row>
    <row r="11">
      <c r="A11" s="3" t="inlineStr">
        <is>
          <t>MAX LOAN BY DSCR (using current pro forma NOI)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3" t="inlineStr">
        <is>
          <t>Rate / Amort</t>
        </is>
      </c>
      <c r="B12" s="23" t="inlineStr">
        <is>
          <t>1.20x DSCR</t>
        </is>
      </c>
      <c r="C12" s="23" t="inlineStr">
        <is>
          <t>1.25x DSCR</t>
        </is>
      </c>
      <c r="D12" s="23" t="inlineStr">
        <is>
          <t>1.35x DSCR</t>
        </is>
      </c>
      <c r="E12" s="23" t="inlineStr">
        <is>
          <t>1.50x DSCR</t>
        </is>
      </c>
    </row>
    <row r="13">
      <c r="A13" s="8" t="inlineStr">
        <is>
          <t>6.25% / 25-yr</t>
        </is>
      </c>
      <c r="B13" s="14">
        <f>Dashboard!$B$8/1.2/0.07916032539780565</f>
        <v/>
      </c>
      <c r="C13" s="14">
        <f>Dashboard!$B$8/1.25/0.07916032539780565</f>
        <v/>
      </c>
      <c r="D13" s="14">
        <f>Dashboard!$B$8/1.35/0.07916032539780565</f>
        <v/>
      </c>
      <c r="E13" s="14">
        <f>Dashboard!$B$8/1.5/0.07916032539780565</f>
        <v/>
      </c>
    </row>
    <row r="14">
      <c r="A14" s="8" t="inlineStr">
        <is>
          <t>6.40% / 25-yr</t>
        </is>
      </c>
      <c r="B14" s="14">
        <f>Dashboard!$B$8/1.2/0.0802766252022255</f>
        <v/>
      </c>
      <c r="C14" s="14">
        <f>Dashboard!$B$8/1.25/0.0802766252022255</f>
        <v/>
      </c>
      <c r="D14" s="14">
        <f>Dashboard!$B$8/1.35/0.0802766252022255</f>
        <v/>
      </c>
      <c r="E14" s="14">
        <f>Dashboard!$B$8/1.5/0.0802766252022255</f>
        <v/>
      </c>
    </row>
    <row r="15">
      <c r="A15" s="8" t="inlineStr">
        <is>
          <t>6.25% / 30-yr</t>
        </is>
      </c>
      <c r="B15" s="14">
        <f>Dashboard!$B$8/1.2/0.07388606405116734</f>
        <v/>
      </c>
      <c r="C15" s="14">
        <f>Dashboard!$B$8/1.25/0.07388606405116734</f>
        <v/>
      </c>
      <c r="D15" s="14">
        <f>Dashboard!$B$8/1.35/0.07388606405116734</f>
        <v/>
      </c>
      <c r="E15" s="14">
        <f>Dashboard!$B$8/1.5/0.07388606405116734</f>
        <v/>
      </c>
    </row>
    <row r="16">
      <c r="A16" s="8" t="inlineStr">
        <is>
          <t>6.50% / 20-yr</t>
        </is>
      </c>
      <c r="B16" s="14">
        <f>Dashboard!$B$8/1.2/0.089468776261812</f>
        <v/>
      </c>
      <c r="C16" s="14">
        <f>Dashboard!$B$8/1.25/0.089468776261812</f>
        <v/>
      </c>
      <c r="D16" s="14">
        <f>Dashboard!$B$8/1.35/0.089468776261812</f>
        <v/>
      </c>
      <c r="E16" s="14">
        <f>Dashboard!$B$8/1.5/0.089468776261812</f>
        <v/>
      </c>
    </row>
    <row r="17">
      <c r="A17" s="8" t="inlineStr">
        <is>
          <t>6.50% / 25-yr</t>
        </is>
      </c>
      <c r="B17" s="14">
        <f>Dashboard!$B$8/1.2/0.08102485936171701</f>
        <v/>
      </c>
      <c r="C17" s="14">
        <f>Dashboard!$B$8/1.25/0.08102485936171701</f>
        <v/>
      </c>
      <c r="D17" s="14">
        <f>Dashboard!$B$8/1.35/0.08102485936171701</f>
        <v/>
      </c>
      <c r="E17" s="14">
        <f>Dashboard!$B$8/1.5/0.08102485936171701</f>
        <v/>
      </c>
    </row>
    <row r="18">
      <c r="A18" s="8" t="inlineStr">
        <is>
          <t>6.50% / 30-yr</t>
        </is>
      </c>
      <c r="B18" s="14">
        <f>Dashboard!$B$8/1.2/0.07584816281915584</f>
        <v/>
      </c>
      <c r="C18" s="14">
        <f>Dashboard!$B$8/1.25/0.07584816281915584</f>
        <v/>
      </c>
      <c r="D18" s="14">
        <f>Dashboard!$B$8/1.35/0.07584816281915584</f>
        <v/>
      </c>
      <c r="E18" s="14">
        <f>Dashboard!$B$8/1.5/0.07584816281915584</f>
        <v/>
      </c>
    </row>
    <row r="19">
      <c r="A19" s="8" t="inlineStr">
        <is>
          <t>7.00% / 25-yr</t>
        </is>
      </c>
      <c r="B19" s="14">
        <f>Dashboard!$B$8/1.2/0.0848135036730109</f>
        <v/>
      </c>
      <c r="C19" s="14">
        <f>Dashboard!$B$8/1.25/0.0848135036730109</f>
        <v/>
      </c>
      <c r="D19" s="14">
        <f>Dashboard!$B$8/1.35/0.0848135036730109</f>
        <v/>
      </c>
      <c r="E19" s="14">
        <f>Dashboard!$B$8/1.5/0.0848135036730109</f>
        <v/>
      </c>
    </row>
    <row r="20">
      <c r="A20" s="8" t="inlineStr">
        <is>
          <t>7.50% / 25-yr</t>
        </is>
      </c>
      <c r="B20" s="14">
        <f>Dashboard!$B$8/1.2/0.08867894133569468</f>
        <v/>
      </c>
      <c r="C20" s="14">
        <f>Dashboard!$B$8/1.25/0.08867894133569468</f>
        <v/>
      </c>
      <c r="D20" s="14">
        <f>Dashboard!$B$8/1.35/0.08867894133569468</f>
        <v/>
      </c>
      <c r="E20" s="14">
        <f>Dashboard!$B$8/1.5/0.08867894133569468</f>
        <v/>
      </c>
    </row>
    <row r="23">
      <c r="A23" s="3" t="inlineStr">
        <is>
          <t>BINDING CONSTRAINT (lesser of LTV or DSCR max)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2" t="inlineStr">
        <is>
          <t>Selected lender scenarios applied to current pro forma:</t>
        </is>
      </c>
    </row>
    <row r="25">
      <c r="A25" s="24" t="inlineStr">
        <is>
          <t>Lender Scenario</t>
        </is>
      </c>
      <c r="B25" s="23" t="inlineStr">
        <is>
          <t>LTV Max</t>
        </is>
      </c>
      <c r="C25" s="23" t="inlineStr">
        <is>
          <t>DSCR Max</t>
        </is>
      </c>
      <c r="D25" s="23" t="inlineStr">
        <is>
          <t>Binding</t>
        </is>
      </c>
      <c r="E25" s="23" t="inlineStr">
        <is>
          <t>Constraint</t>
        </is>
      </c>
    </row>
    <row r="26">
      <c r="A26" s="13" t="inlineStr">
        <is>
          <t>Ben Option 1: 55% LTV / 1.35x / 6.25% / 25-yr</t>
        </is>
      </c>
      <c r="B26" s="25">
        <f>Dashboard!$B$8/0.06*0.55</f>
        <v/>
      </c>
      <c r="C26" s="25">
        <f>Dashboard!$B$8/1.35/0.07916032539780565</f>
        <v/>
      </c>
      <c r="D26" s="26">
        <f>MIN(B26,C26)</f>
        <v/>
      </c>
      <c r="E26" s="27">
        <f>IF(B26&lt;C26,"LTV","DSCR")</f>
        <v/>
      </c>
    </row>
    <row r="27">
      <c r="A27" s="13" t="inlineStr">
        <is>
          <t>Ben Option 2: 60% LTV / 1.35x / 6.40% / 25-yr</t>
        </is>
      </c>
      <c r="B27" s="25">
        <f>Dashboard!$B$8/0.06*0.6</f>
        <v/>
      </c>
      <c r="C27" s="25">
        <f>Dashboard!$B$8/1.35/0.0802766252022255</f>
        <v/>
      </c>
      <c r="D27" s="26">
        <f>MIN(B27,C27)</f>
        <v/>
      </c>
      <c r="E27" s="27">
        <f>IF(B27&lt;C27,"LTV","DSCR")</f>
        <v/>
      </c>
    </row>
    <row r="28">
      <c r="A28" s="13" t="inlineStr">
        <is>
          <t>ServisFirst: 75% LTV / 1.50x / 6.50% / 20-yr</t>
        </is>
      </c>
      <c r="B28" s="25">
        <f>Dashboard!$B$8/0.06*0.75</f>
        <v/>
      </c>
      <c r="C28" s="25">
        <f>Dashboard!$B$8/1.5/0.089468776261812</f>
        <v/>
      </c>
      <c r="D28" s="26">
        <f>MIN(B28,C28)</f>
        <v/>
      </c>
      <c r="E28" s="27">
        <f>IF(B28&lt;C28,"LTV","DSCR")</f>
        <v/>
      </c>
    </row>
    <row r="29">
      <c r="A29" s="13" t="inlineStr">
        <is>
          <t>ServisFirst neg: 75% LTV / 1.35x / 6.50% / 25-yr</t>
        </is>
      </c>
      <c r="B29" s="25">
        <f>Dashboard!$B$8/0.06*0.75</f>
        <v/>
      </c>
      <c r="C29" s="25">
        <f>Dashboard!$B$8/1.35/0.08102485936171701</f>
        <v/>
      </c>
      <c r="D29" s="26">
        <f>MIN(B29,C29)</f>
        <v/>
      </c>
      <c r="E29" s="27">
        <f>IF(B29&lt;C29,"LTV","DSCR")</f>
        <v/>
      </c>
    </row>
    <row r="31">
      <c r="A31" s="2" t="inlineStr">
        <is>
          <t>Note: LTV calc assumes 6.0% cap rate. Adjust on Dashboard tab to test different cap rates.</t>
        </is>
      </c>
    </row>
  </sheetData>
  <mergeCells count="4">
    <mergeCell ref="A1:J1"/>
    <mergeCell ref="A31:H31"/>
    <mergeCell ref="A24:E2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E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7" t="inlineStr">
        <is>
          <t>Lender Comparison</t>
        </is>
      </c>
    </row>
    <row r="2">
      <c r="A2" s="2" t="inlineStr">
        <is>
          <t>Side-by-side at current terms with cash flow and return analysis</t>
        </is>
      </c>
    </row>
    <row r="4">
      <c r="A4" s="28" t="inlineStr"/>
      <c r="B4" s="29" t="inlineStr">
        <is>
          <t>Ben Opt 1</t>
        </is>
      </c>
      <c r="C4" s="29" t="inlineStr">
        <is>
          <t>Ben Opt 2</t>
        </is>
      </c>
      <c r="D4" s="29" t="inlineStr">
        <is>
          <t>ServisFirst (current)</t>
        </is>
      </c>
      <c r="E4" s="29" t="inlineStr">
        <is>
          <t>ServisFirst (negotiated)</t>
        </is>
      </c>
    </row>
    <row r="5">
      <c r="A5" s="30" t="inlineStr">
        <is>
          <t>LOAN TERMS</t>
        </is>
      </c>
      <c r="B5" s="31" t="n"/>
      <c r="C5" s="31" t="n"/>
      <c r="D5" s="31" t="n"/>
      <c r="E5" s="31" t="n"/>
    </row>
    <row r="6">
      <c r="A6" s="5" t="inlineStr">
        <is>
          <t>Loan Amount</t>
        </is>
      </c>
      <c r="B6" s="32" t="n">
        <v>2300000</v>
      </c>
      <c r="C6" s="32" t="n">
        <v>2800000</v>
      </c>
      <c r="D6" s="32" t="n">
        <v>2591988.062085329</v>
      </c>
      <c r="E6" s="32" t="n">
        <v>3255025.640610006</v>
      </c>
    </row>
    <row r="7">
      <c r="A7" s="5" t="inlineStr">
        <is>
          <t>Interest Rate</t>
        </is>
      </c>
      <c r="B7" s="33" t="n">
        <v>0.0625</v>
      </c>
      <c r="C7" s="33" t="n">
        <v>0.064</v>
      </c>
      <c r="D7" s="33" t="n">
        <v>0.065</v>
      </c>
      <c r="E7" s="33" t="n">
        <v>0.0625</v>
      </c>
    </row>
    <row r="8">
      <c r="A8" s="5" t="inlineStr">
        <is>
          <t>Amortization (years)</t>
        </is>
      </c>
      <c r="B8" s="34" t="n">
        <v>25</v>
      </c>
      <c r="C8" s="34" t="n">
        <v>25</v>
      </c>
      <c r="D8" s="34" t="n">
        <v>20</v>
      </c>
      <c r="E8" s="34" t="n">
        <v>25</v>
      </c>
    </row>
    <row r="9">
      <c r="A9" s="5" t="inlineStr">
        <is>
          <t>IO Period (months)</t>
        </is>
      </c>
      <c r="B9" s="34" t="n">
        <v>0</v>
      </c>
      <c r="C9" s="34" t="n">
        <v>12</v>
      </c>
      <c r="D9" s="34" t="n">
        <v>0</v>
      </c>
      <c r="E9" s="34" t="n">
        <v>12</v>
      </c>
    </row>
    <row r="10">
      <c r="A10" s="5" t="inlineStr">
        <is>
          <t>Loan Fee %</t>
        </is>
      </c>
      <c r="B10" s="33" t="n">
        <v>0.005</v>
      </c>
      <c r="C10" s="33" t="n">
        <v>0.0075</v>
      </c>
      <c r="D10" s="33" t="n">
        <v>0.01</v>
      </c>
      <c r="E10" s="33" t="n">
        <v>0.0075</v>
      </c>
    </row>
    <row r="11">
      <c r="A11" s="5" t="inlineStr">
        <is>
          <t>DSCR Minimum</t>
        </is>
      </c>
      <c r="B11" s="35" t="n">
        <v>1.35</v>
      </c>
      <c r="C11" s="35" t="n">
        <v>1.35</v>
      </c>
      <c r="D11" s="35" t="n">
        <v>1.5</v>
      </c>
      <c r="E11" s="35" t="n">
        <v>1.35</v>
      </c>
    </row>
    <row r="12">
      <c r="A12" s="5" t="inlineStr">
        <is>
          <t>LTV Maximum</t>
        </is>
      </c>
      <c r="B12" s="36" t="n">
        <v>0.55</v>
      </c>
      <c r="C12" s="36" t="n">
        <v>0.6</v>
      </c>
      <c r="D12" s="36" t="n">
        <v>0.75</v>
      </c>
      <c r="E12" s="36" t="n">
        <v>0.75</v>
      </c>
    </row>
    <row r="14">
      <c r="A14" s="30" t="inlineStr">
        <is>
          <t>ANNUAL CASH FLOW (Steady-State)</t>
        </is>
      </c>
      <c r="B14" s="31" t="n"/>
      <c r="C14" s="31" t="n"/>
      <c r="D14" s="31" t="n"/>
      <c r="E14" s="31" t="n"/>
    </row>
    <row r="15">
      <c r="A15" s="5" t="inlineStr">
        <is>
          <t>Annual Debt Service</t>
        </is>
      </c>
      <c r="B15" s="37" t="n">
        <v>182068.748414953</v>
      </c>
      <c r="C15" s="37" t="n">
        <v>224774.5505662314</v>
      </c>
      <c r="D15" s="37" t="n">
        <v>231902</v>
      </c>
      <c r="E15" s="37" t="n">
        <v>257668.8888888889</v>
      </c>
    </row>
    <row r="16">
      <c r="A16" s="5" t="inlineStr">
        <is>
          <t>Projected NOI</t>
        </is>
      </c>
      <c r="B16" s="37">
        <f>Dashboard!$B$8</f>
        <v/>
      </c>
      <c r="C16" s="37">
        <f>Dashboard!$B$8</f>
        <v/>
      </c>
      <c r="D16" s="37">
        <f>Dashboard!$B$8</f>
        <v/>
      </c>
      <c r="E16" s="37">
        <f>Dashboard!$B$8</f>
        <v/>
      </c>
    </row>
    <row r="17">
      <c r="A17" s="8" t="inlineStr">
        <is>
          <t>Cash Flow After Debt Service</t>
        </is>
      </c>
      <c r="B17" s="38">
        <f>B16-B15</f>
        <v/>
      </c>
      <c r="C17" s="38">
        <f>C16-C15</f>
        <v/>
      </c>
      <c r="D17" s="38">
        <f>D16-D15</f>
        <v/>
      </c>
      <c r="E17" s="38">
        <f>E16-E15</f>
        <v/>
      </c>
    </row>
    <row r="18">
      <c r="A18" s="5" t="inlineStr">
        <is>
          <t>DSCR Achieved</t>
        </is>
      </c>
      <c r="B18" s="35">
        <f>B16/B15</f>
        <v/>
      </c>
      <c r="C18" s="35">
        <f>C16/C15</f>
        <v/>
      </c>
      <c r="D18" s="35">
        <f>D16/D15</f>
        <v/>
      </c>
      <c r="E18" s="35">
        <f>E16/E15</f>
        <v/>
      </c>
    </row>
    <row r="19">
      <c r="A19" s="5" t="inlineStr">
        <is>
          <t>Debt Yield (NOI / Loan)</t>
        </is>
      </c>
      <c r="B19" s="33">
        <f>B16/B6</f>
        <v/>
      </c>
      <c r="C19" s="33">
        <f>C16/C6</f>
        <v/>
      </c>
      <c r="D19" s="33">
        <f>D16/D6</f>
        <v/>
      </c>
      <c r="E19" s="33">
        <f>E16/E6</f>
        <v/>
      </c>
    </row>
    <row r="21">
      <c r="A21" s="30" t="inlineStr">
        <is>
          <t>CASH OUT AT CLOSE</t>
        </is>
      </c>
      <c r="B21" s="31" t="n"/>
      <c r="C21" s="31" t="n"/>
      <c r="D21" s="31" t="n"/>
      <c r="E21" s="31" t="n"/>
    </row>
    <row r="22">
      <c r="A22" s="5" t="inlineStr">
        <is>
          <t>Loan Amount</t>
        </is>
      </c>
      <c r="B22" s="37">
        <f>B6</f>
        <v/>
      </c>
      <c r="C22" s="37">
        <f>C6</f>
        <v/>
      </c>
      <c r="D22" s="37">
        <f>D6</f>
        <v/>
      </c>
      <c r="E22" s="37">
        <f>E6</f>
        <v/>
      </c>
    </row>
    <row r="23">
      <c r="A23" s="5" t="inlineStr">
        <is>
          <t>Less: Existing Debt Payoff</t>
        </is>
      </c>
      <c r="B23" s="37">
        <f>-Dashboard!$B$12</f>
        <v/>
      </c>
      <c r="C23" s="37">
        <f>-Dashboard!$B$12</f>
        <v/>
      </c>
      <c r="D23" s="37">
        <f>-Dashboard!$B$12</f>
        <v/>
      </c>
      <c r="E23" s="37">
        <f>-Dashboard!$B$12</f>
        <v/>
      </c>
    </row>
    <row r="24">
      <c r="A24" s="5" t="inlineStr">
        <is>
          <t>Less: Loan Fee</t>
        </is>
      </c>
      <c r="B24" s="37">
        <f>-B22*0.005</f>
        <v/>
      </c>
      <c r="C24" s="37">
        <f>-C22*0.0075</f>
        <v/>
      </c>
      <c r="D24" s="37">
        <f>-D22*0.01</f>
        <v/>
      </c>
      <c r="E24" s="37">
        <f>-E22*0.0075</f>
        <v/>
      </c>
    </row>
    <row r="25">
      <c r="A25" s="5" t="inlineStr">
        <is>
          <t>Less: Doc + 3rd Party Costs (est)</t>
        </is>
      </c>
      <c r="B25" s="37" t="n">
        <v>-31000</v>
      </c>
      <c r="C25" s="37" t="n">
        <v>-31000</v>
      </c>
      <c r="D25" s="37" t="n">
        <v>-31000</v>
      </c>
      <c r="E25" s="37" t="n">
        <v>-31000</v>
      </c>
    </row>
    <row r="26">
      <c r="A26" s="8" t="inlineStr">
        <is>
          <t>Net Cash to Owner at Close</t>
        </is>
      </c>
      <c r="B26" s="38">
        <f>B22+B23+B24+B25</f>
        <v/>
      </c>
      <c r="C26" s="38">
        <f>C22+C23+C24+C25</f>
        <v/>
      </c>
      <c r="D26" s="38">
        <f>D22+D23+D24+D25</f>
        <v/>
      </c>
      <c r="E26" s="38">
        <f>E22+E23+E24+E25</f>
        <v/>
      </c>
    </row>
    <row r="28">
      <c r="A28" s="30" t="inlineStr">
        <is>
          <t>RETURNS</t>
        </is>
      </c>
      <c r="B28" s="31" t="n"/>
      <c r="C28" s="31" t="n"/>
      <c r="D28" s="31" t="n"/>
      <c r="E28" s="31" t="n"/>
    </row>
    <row r="29">
      <c r="A29" s="5" t="inlineStr">
        <is>
          <t>Equity Remaining (Basis - Loan)</t>
        </is>
      </c>
      <c r="B29" s="37">
        <f>Dashboard!$B$11-B22</f>
        <v/>
      </c>
      <c r="C29" s="37">
        <f>Dashboard!$B$11-C22</f>
        <v/>
      </c>
      <c r="D29" s="37">
        <f>Dashboard!$B$11-D22</f>
        <v/>
      </c>
      <c r="E29" s="37">
        <f>Dashboard!$B$11-E22</f>
        <v/>
      </c>
    </row>
    <row r="30">
      <c r="A30" s="8" t="inlineStr">
        <is>
          <t>Cash-on-Cash Return (Steady-State)</t>
        </is>
      </c>
      <c r="B30" s="39">
        <f>(B16-B15)/B29</f>
        <v/>
      </c>
      <c r="C30" s="39">
        <f>(C16-C15)/C29</f>
        <v/>
      </c>
      <c r="D30" s="39">
        <f>(D16-D15)/D29</f>
        <v/>
      </c>
      <c r="E30" s="39">
        <f>(E16-E15)/E29</f>
        <v/>
      </c>
    </row>
    <row r="31">
      <c r="A31" s="5" t="inlineStr">
        <is>
          <t>Leverage (Loan / Basis)</t>
        </is>
      </c>
      <c r="B31" s="36">
        <f>B22/Dashboard!$B$11</f>
        <v/>
      </c>
      <c r="C31" s="36">
        <f>C22/Dashboard!$B$11</f>
        <v/>
      </c>
      <c r="D31" s="36">
        <f>D22/Dashboard!$B$11</f>
        <v/>
      </c>
      <c r="E31" s="36">
        <f>E22/Dashboard!$B$11</f>
        <v/>
      </c>
    </row>
    <row r="33">
      <c r="A33" s="22" t="inlineStr">
        <is>
          <t>NOTES:</t>
        </is>
      </c>
    </row>
    <row r="34">
      <c r="A34" s="2" t="inlineStr">
        <is>
          <t>- ServisFirst (current): max loan calculated as binding minimum of 75% LTV (at 6% cap) and 1.50x DSCR / 6.50% / 20-yr</t>
        </is>
      </c>
    </row>
    <row r="35">
      <c r="A35" s="2" t="inlineStr">
        <is>
          <t>- ServisFirst (negotiated): assumes ServisFirst gives on rate (-25 bps), amort (+5 yrs), and DSCR floor (-15 bps)</t>
        </is>
      </c>
    </row>
    <row r="36">
      <c r="A36" s="2" t="inlineStr">
        <is>
          <t>- Cash flow analysis is steady-state (post-IO if applicable). Year 1 may differ for Ben Option 2 due to 12-month IO.</t>
        </is>
      </c>
    </row>
    <row r="37">
      <c r="A37" s="2" t="inlineStr">
        <is>
          <t>- All scenarios assume current pro forma NOI; adjust on Dashboard tab to test sensitivities.</t>
        </is>
      </c>
    </row>
  </sheetData>
  <mergeCells count="6">
    <mergeCell ref="A34:E34"/>
    <mergeCell ref="A35:E35"/>
    <mergeCell ref="A2:E2"/>
    <mergeCell ref="A1:E1"/>
    <mergeCell ref="A37:E37"/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1E63"/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7" t="inlineStr">
        <is>
          <t>Concession Levers - What Each Concession is Worth</t>
        </is>
      </c>
    </row>
    <row r="2">
      <c r="A2" s="2" t="inlineStr">
        <is>
          <t>Quantifies how much additional loan capacity each lender concession unlocks</t>
        </is>
      </c>
    </row>
    <row r="4">
      <c r="A4" s="3" t="inlineStr">
        <is>
          <t>BEN / MBT - OPTION 2 CONCESSION ANALYSIS</t>
        </is>
      </c>
      <c r="B4" s="4" t="n"/>
      <c r="C4" s="4" t="n"/>
      <c r="D4" s="4" t="n"/>
      <c r="E4" s="4" t="n"/>
      <c r="F4" s="4" t="n"/>
    </row>
    <row r="5">
      <c r="A5" s="2" t="inlineStr">
        <is>
          <t>Base case: $2.8M / 6.40% / 25-yr / 1.35x DSCR / 60% LTV</t>
        </is>
      </c>
    </row>
    <row r="7">
      <c r="A7" s="24" t="inlineStr">
        <is>
          <t>Concession</t>
        </is>
      </c>
      <c r="B7" s="23" t="inlineStr">
        <is>
          <t>Change</t>
        </is>
      </c>
      <c r="C7" s="23" t="inlineStr">
        <is>
          <t>New Max Loan</t>
        </is>
      </c>
      <c r="D7" s="23" t="inlineStr">
        <is>
          <t>vs Base $2.8M</t>
        </is>
      </c>
      <c r="E7" s="23" t="inlineStr">
        <is>
          <t>$ Value</t>
        </is>
      </c>
      <c r="F7" s="23" t="inlineStr">
        <is>
          <t>% Move</t>
        </is>
      </c>
    </row>
    <row r="8">
      <c r="A8" s="40" t="inlineStr">
        <is>
          <t>BASE CASE</t>
        </is>
      </c>
      <c r="B8" s="41" t="inlineStr">
        <is>
          <t>-</t>
        </is>
      </c>
      <c r="C8" s="26" t="n">
        <v>3209762.346633196</v>
      </c>
      <c r="D8" s="25" t="n">
        <v>0</v>
      </c>
      <c r="E8" s="41" t="inlineStr">
        <is>
          <t>-</t>
        </is>
      </c>
      <c r="F8" s="41" t="inlineStr">
        <is>
          <t>-</t>
        </is>
      </c>
    </row>
    <row r="9">
      <c r="A9" s="13" t="inlineStr">
        <is>
          <t>Lower DSCR floor to 1.25x</t>
        </is>
      </c>
      <c r="B9" s="27" t="inlineStr">
        <is>
          <t>1.35x to 1.25x</t>
        </is>
      </c>
      <c r="C9" s="25" t="n">
        <v>3466543.334363852</v>
      </c>
      <c r="D9" s="42" t="n">
        <v>256780.9877306558</v>
      </c>
      <c r="E9" s="43" t="n">
        <v>256780.9877306558</v>
      </c>
      <c r="F9" s="44" t="n">
        <v>0.08000000000000004</v>
      </c>
    </row>
    <row r="10">
      <c r="A10" s="13" t="inlineStr">
        <is>
          <t>Lower DSCR floor to 1.20x</t>
        </is>
      </c>
      <c r="B10" s="27" t="inlineStr">
        <is>
          <t>1.35x to 1.20x</t>
        </is>
      </c>
      <c r="C10" s="25" t="n">
        <v>3478530</v>
      </c>
      <c r="D10" s="42" t="n">
        <v>268767.6533668041</v>
      </c>
      <c r="E10" s="43" t="n">
        <v>268767.6533668041</v>
      </c>
      <c r="F10" s="44" t="n">
        <v>0.08373444023004431</v>
      </c>
    </row>
    <row r="11">
      <c r="A11" s="13" t="inlineStr">
        <is>
          <t>Extend amort to 30 years</t>
        </is>
      </c>
      <c r="B11" s="27" t="inlineStr">
        <is>
          <t>25 to 30 yr</t>
        </is>
      </c>
      <c r="C11" s="25" t="n">
        <v>3432806.483439538</v>
      </c>
      <c r="D11" s="42" t="n">
        <v>223044.1368063418</v>
      </c>
      <c r="E11" s="43" t="n">
        <v>223044.1368063418</v>
      </c>
      <c r="F11" s="44" t="n">
        <v>0.06948929943062566</v>
      </c>
    </row>
    <row r="12">
      <c r="A12" s="13" t="inlineStr">
        <is>
          <t>Lower rate by 25 bps</t>
        </is>
      </c>
      <c r="B12" s="27" t="inlineStr">
        <is>
          <t>6.40% to 6.15%</t>
        </is>
      </c>
      <c r="C12" s="25" t="n">
        <v>3285746.562432061</v>
      </c>
      <c r="D12" s="42" t="n">
        <v>75984.21579886507</v>
      </c>
      <c r="E12" s="43" t="n">
        <v>75984.21579886507</v>
      </c>
      <c r="F12" s="44" t="n">
        <v>0.02367284789123622</v>
      </c>
    </row>
    <row r="13">
      <c r="A13" s="13" t="inlineStr">
        <is>
          <t>Higher LTV cap to 65%</t>
        </is>
      </c>
      <c r="B13" s="27" t="inlineStr">
        <is>
          <t>60% to 65%</t>
        </is>
      </c>
      <c r="C13" s="25" t="n">
        <v>3209762.346633196</v>
      </c>
      <c r="D13" s="25" t="n">
        <v>0</v>
      </c>
      <c r="E13" s="25" t="n">
        <v>0</v>
      </c>
      <c r="F13" s="45" t="n">
        <v>0</v>
      </c>
    </row>
    <row r="14">
      <c r="A14" s="13" t="inlineStr">
        <is>
          <t>Higher LTV cap to 70%</t>
        </is>
      </c>
      <c r="B14" s="27" t="inlineStr">
        <is>
          <t>60% to 70%</t>
        </is>
      </c>
      <c r="C14" s="25" t="n">
        <v>3209762.346633196</v>
      </c>
      <c r="D14" s="25" t="n">
        <v>0</v>
      </c>
      <c r="E14" s="25" t="n">
        <v>0</v>
      </c>
      <c r="F14" s="45" t="n">
        <v>0</v>
      </c>
    </row>
    <row r="15">
      <c r="A15" s="13" t="inlineStr">
        <is>
          <t>Use 5.5% cap rate (vs 6%)</t>
        </is>
      </c>
      <c r="B15" s="27" t="inlineStr">
        <is>
          <t>Cap rate 6% to 5.5%</t>
        </is>
      </c>
      <c r="C15" s="25" t="n">
        <v>3209762.346633196</v>
      </c>
      <c r="D15" s="25" t="n">
        <v>0</v>
      </c>
      <c r="E15" s="25" t="n">
        <v>0</v>
      </c>
      <c r="F15" s="45" t="n">
        <v>0</v>
      </c>
    </row>
    <row r="16">
      <c r="A16" s="13" t="inlineStr">
        <is>
          <t>Combo: 1.25x DSCR + 65% LTV + 30-yr</t>
        </is>
      </c>
      <c r="B16" s="27" t="inlineStr">
        <is>
          <t>All concessions</t>
        </is>
      </c>
      <c r="C16" s="25" t="n">
        <v>3707431.002114701</v>
      </c>
      <c r="D16" s="42" t="n">
        <v>497668.6554815052</v>
      </c>
      <c r="E16" s="43" t="n">
        <v>497668.6554815052</v>
      </c>
      <c r="F16" s="44" t="n">
        <v>0.1550484433850758</v>
      </c>
    </row>
    <row r="19">
      <c r="A19" s="3" t="inlineStr">
        <is>
          <t>SERVISFIRST CONCESSION ANALYSIS</t>
        </is>
      </c>
      <c r="B19" s="4" t="n"/>
      <c r="C19" s="4" t="n"/>
      <c r="D19" s="4" t="n"/>
      <c r="E19" s="4" t="n"/>
      <c r="F19" s="4" t="n"/>
    </row>
    <row r="20">
      <c r="A20" s="2" t="inlineStr">
        <is>
          <t>Base case: 6.50% / 20-yr / 1.50x DSCR / 75% LTV</t>
        </is>
      </c>
    </row>
    <row r="22">
      <c r="A22" s="24" t="inlineStr">
        <is>
          <t>Concession</t>
        </is>
      </c>
      <c r="B22" s="23" t="inlineStr">
        <is>
          <t>Change</t>
        </is>
      </c>
      <c r="C22" s="23" t="inlineStr">
        <is>
          <t>New Max Loan</t>
        </is>
      </c>
      <c r="D22" s="23" t="inlineStr">
        <is>
          <t>vs Base</t>
        </is>
      </c>
      <c r="E22" s="23" t="inlineStr">
        <is>
          <t>$ Value</t>
        </is>
      </c>
      <c r="F22" s="23" t="inlineStr">
        <is>
          <t>% Move</t>
        </is>
      </c>
    </row>
    <row r="23">
      <c r="A23" s="40" t="inlineStr">
        <is>
          <t>BASE CASE</t>
        </is>
      </c>
      <c r="B23" s="41" t="inlineStr">
        <is>
          <t>-</t>
        </is>
      </c>
      <c r="C23" s="26" t="n">
        <v>2591988.062085329</v>
      </c>
      <c r="D23" s="25" t="n">
        <v>0</v>
      </c>
      <c r="E23" s="41" t="inlineStr">
        <is>
          <t>-</t>
        </is>
      </c>
      <c r="F23" s="41" t="inlineStr">
        <is>
          <t>-</t>
        </is>
      </c>
    </row>
    <row r="24">
      <c r="A24" s="13" t="inlineStr">
        <is>
          <t>Extend amort to 25 years</t>
        </is>
      </c>
      <c r="B24" s="27" t="inlineStr">
        <is>
          <t>20 to 25 yr</t>
        </is>
      </c>
      <c r="C24" s="25" t="n">
        <v>2862109.25667549</v>
      </c>
      <c r="D24" s="42" t="n">
        <v>270121.1945901611</v>
      </c>
      <c r="E24" s="43" t="n">
        <v>270121.1945901611</v>
      </c>
      <c r="F24" s="44" t="n">
        <v>0.1042139038143721</v>
      </c>
    </row>
    <row r="25">
      <c r="A25" s="13" t="inlineStr">
        <is>
          <t>Extend amort to 30 years</t>
        </is>
      </c>
      <c r="B25" s="27" t="inlineStr">
        <is>
          <t>20 to 30 yr</t>
        </is>
      </c>
      <c r="C25" s="25" t="n">
        <v>3057450.45602386</v>
      </c>
      <c r="D25" s="42" t="n">
        <v>465462.3939385312</v>
      </c>
      <c r="E25" s="43" t="n">
        <v>465462.3939385312</v>
      </c>
      <c r="F25" s="44" t="n">
        <v>0.1795773679466924</v>
      </c>
    </row>
    <row r="26">
      <c r="A26" s="13" t="inlineStr">
        <is>
          <t>Lower DSCR floor to 1.35x</t>
        </is>
      </c>
      <c r="B26" s="27" t="inlineStr">
        <is>
          <t>1.50x to 1.35x</t>
        </is>
      </c>
      <c r="C26" s="25" t="n">
        <v>2879986.735650366</v>
      </c>
      <c r="D26" s="42" t="n">
        <v>287998.6735650366</v>
      </c>
      <c r="E26" s="43" t="n">
        <v>287998.6735650366</v>
      </c>
      <c r="F26" s="44" t="n">
        <v>0.1111111111111111</v>
      </c>
    </row>
    <row r="27">
      <c r="A27" s="13" t="inlineStr">
        <is>
          <t>Lower DSCR floor to 1.25x</t>
        </is>
      </c>
      <c r="B27" s="27" t="inlineStr">
        <is>
          <t>1.50x to 1.25x</t>
        </is>
      </c>
      <c r="C27" s="25" t="n">
        <v>3110385.674502396</v>
      </c>
      <c r="D27" s="42" t="n">
        <v>518397.6124170665</v>
      </c>
      <c r="E27" s="43" t="n">
        <v>518397.6124170665</v>
      </c>
      <c r="F27" s="44" t="n">
        <v>0.2000000000000003</v>
      </c>
    </row>
    <row r="28">
      <c r="A28" s="13" t="inlineStr">
        <is>
          <t>Lower rate to 6.25%</t>
        </is>
      </c>
      <c r="B28" s="27" t="inlineStr">
        <is>
          <t>6.50% to 6.25%</t>
        </is>
      </c>
      <c r="C28" s="25" t="n">
        <v>2643921.332328603</v>
      </c>
      <c r="D28" s="42" t="n">
        <v>51933.27024327405</v>
      </c>
      <c r="E28" s="43" t="n">
        <v>51933.27024327405</v>
      </c>
      <c r="F28" s="44" t="n">
        <v>0.02003607616984633</v>
      </c>
    </row>
    <row r="29">
      <c r="A29" s="13" t="inlineStr">
        <is>
          <t>Lower rate to 6.00%</t>
        </is>
      </c>
      <c r="B29" s="27" t="inlineStr">
        <is>
          <t>6.50% to 6.00%</t>
        </is>
      </c>
      <c r="C29" s="25" t="n">
        <v>2697421.676234523</v>
      </c>
      <c r="D29" s="42" t="n">
        <v>105433.6141491942</v>
      </c>
      <c r="E29" s="43" t="n">
        <v>105433.6141491942</v>
      </c>
      <c r="F29" s="44" t="n">
        <v>0.04067673601257632</v>
      </c>
    </row>
    <row r="30">
      <c r="A30" s="13" t="inlineStr">
        <is>
          <t>Combo: 25-yr + 1.35x</t>
        </is>
      </c>
      <c r="B30" s="27" t="inlineStr">
        <is>
          <t>Two concessions</t>
        </is>
      </c>
      <c r="C30" s="25" t="n">
        <v>3180121.3963061</v>
      </c>
      <c r="D30" s="42" t="n">
        <v>588133.3342207707</v>
      </c>
      <c r="E30" s="43" t="n">
        <v>588133.3342207707</v>
      </c>
      <c r="F30" s="44" t="n">
        <v>0.2269043375715244</v>
      </c>
    </row>
    <row r="31">
      <c r="A31" s="13" t="inlineStr">
        <is>
          <t>Combo: 25-yr + 1.35x + 6.25%</t>
        </is>
      </c>
      <c r="B31" s="27" t="inlineStr">
        <is>
          <t>Three concessions</t>
        </is>
      </c>
      <c r="C31" s="25" t="n">
        <v>3255025.640610006</v>
      </c>
      <c r="D31" s="42" t="n">
        <v>663037.5785246771</v>
      </c>
      <c r="E31" s="43" t="n">
        <v>663037.5785246771</v>
      </c>
      <c r="F31" s="44" t="n">
        <v>0.2558027130693049</v>
      </c>
    </row>
    <row r="32">
      <c r="A32" s="13" t="inlineStr">
        <is>
          <t>Combo: 30-yr + 1.25x + 6.25%</t>
        </is>
      </c>
      <c r="B32" s="27" t="inlineStr">
        <is>
          <t>Match Ben Option 2 effectively</t>
        </is>
      </c>
      <c r="C32" s="25" t="n">
        <v>3766371.961663634</v>
      </c>
      <c r="D32" s="42" t="n">
        <v>1174383.899578305</v>
      </c>
      <c r="E32" s="43" t="n">
        <v>1174383.899578305</v>
      </c>
      <c r="F32" s="44" t="n">
        <v>0.4530822949213274</v>
      </c>
    </row>
    <row r="35">
      <c r="A35" s="3" t="inlineStr">
        <is>
          <t>STRATEGIC CONCLUSIONS</t>
        </is>
      </c>
      <c r="B35" s="4" t="n"/>
      <c r="C35" s="4" t="n"/>
      <c r="D35" s="4" t="n"/>
      <c r="E35" s="4" t="n"/>
      <c r="F35" s="4" t="n"/>
    </row>
    <row r="36">
      <c r="A36" s="5" t="inlineStr">
        <is>
          <t>1. AMORTIZATION extension is the highest-value single concession. Each 5 years of amort adds ~$200K-$300K of capacity.</t>
        </is>
      </c>
    </row>
    <row r="37">
      <c r="A37" s="5" t="inlineStr">
        <is>
          <t>2. DSCR floor reduction is second-highest value. Moving from 1.50x to 1.25x adds ~$370K of capacity at ServisFirst's terms.</t>
        </is>
      </c>
    </row>
    <row r="38">
      <c r="A38" s="5" t="inlineStr">
        <is>
          <t>3. Rate reductions are third-most valuable. Each 25 bps of rate reduction adds ~$50K-$80K of capacity.</t>
        </is>
      </c>
    </row>
    <row r="39">
      <c r="A39" s="5" t="inlineStr">
        <is>
          <t>4. LTV ceiling matters less when DSCR is binding (which it usually is at conservative cap rates).</t>
        </is>
      </c>
    </row>
    <row r="40">
      <c r="A40" s="5" t="inlineStr">
        <is>
          <t>5. For ServisFirst to genuinely beat Ben Opt 2, they need to give on amort (25-yr+) AND DSCR floor (1.35x or lower).</t>
        </is>
      </c>
    </row>
    <row r="41">
      <c r="A41" s="5" t="inlineStr">
        <is>
          <t>6. For Ben to compete with a hypothetical aggressive ServisFirst offer, he can give on amort (30-yr) and/or LTV (65%).</t>
        </is>
      </c>
    </row>
  </sheetData>
  <mergeCells count="10">
    <mergeCell ref="A38:F38"/>
    <mergeCell ref="A2:F2"/>
    <mergeCell ref="A41:F41"/>
    <mergeCell ref="A36:F36"/>
    <mergeCell ref="A1:F1"/>
    <mergeCell ref="A5:F5"/>
    <mergeCell ref="A37:F37"/>
    <mergeCell ref="A40:F40"/>
    <mergeCell ref="A20:F2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2026-07-07T23:07:42Z</dcterms:created>
  <dcterms:modified xmlns:dcterms="http://purl.org/dc/terms/" xmlns:xsi="http://www.w3.org/2001/XMLSchema-instance" xsi:type="dcterms:W3CDTF">2026-07-07T23:07:42Z</dcterms:modified>
</cp:coreProperties>
</file>