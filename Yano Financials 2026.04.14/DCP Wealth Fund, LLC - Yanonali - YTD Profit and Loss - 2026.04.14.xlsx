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1" l="1"/>
</calcChain>
</file>

<file path=xl/sharedStrings.xml><?xml version="1.0" encoding="utf-8"?>
<sst xmlns="http://schemas.openxmlformats.org/spreadsheetml/2006/main" count="51" uniqueCount="51">
  <si>
    <t>Profit and Loss</t>
  </si>
  <si>
    <t>DCP Wealth Fund, LLC</t>
  </si>
  <si>
    <t>January 1-April 14, 2026</t>
  </si>
  <si>
    <t>Income</t>
  </si>
  <si>
    <t>Rent</t>
  </si>
  <si>
    <t>Total for Income</t>
  </si>
  <si>
    <t>Gross Profit</t>
  </si>
  <si>
    <t>Expenses</t>
  </si>
  <si>
    <t>Advertising &amp; marketing</t>
  </si>
  <si>
    <t>Review Promo</t>
  </si>
  <si>
    <t>Total for Advertising &amp; marketing</t>
  </si>
  <si>
    <t>Commissions Expense</t>
  </si>
  <si>
    <t>Guest Relations</t>
  </si>
  <si>
    <t>Hospitality Management Fee</t>
  </si>
  <si>
    <t>Landscaping expense</t>
  </si>
  <si>
    <t>Repairs &amp; maintenance</t>
  </si>
  <si>
    <t>Cleaning Expenses</t>
  </si>
  <si>
    <t>Fire Safety</t>
  </si>
  <si>
    <t>General Repairs</t>
  </si>
  <si>
    <t>Pest Control</t>
  </si>
  <si>
    <t>Total for Repairs &amp; maintenance</t>
  </si>
  <si>
    <t>Supplies</t>
  </si>
  <si>
    <t>Supplies &amp; materials</t>
  </si>
  <si>
    <t>Total for Supplies</t>
  </si>
  <si>
    <t>Taxes paid</t>
  </si>
  <si>
    <t>City &amp; County Tax</t>
  </si>
  <si>
    <t>Property taxes</t>
  </si>
  <si>
    <t>State Tax</t>
  </si>
  <si>
    <t>Total for Taxes paid</t>
  </si>
  <si>
    <t>Utilities</t>
  </si>
  <si>
    <t>Disposal &amp; waste fees</t>
  </si>
  <si>
    <t>Electricity</t>
  </si>
  <si>
    <t>Internet &amp; TV services</t>
  </si>
  <si>
    <t>Water &amp; sewer</t>
  </si>
  <si>
    <t>Total for Utilities</t>
  </si>
  <si>
    <t>Total for Expenses</t>
  </si>
  <si>
    <t>Net Operating Income</t>
  </si>
  <si>
    <t>Other Expenses</t>
  </si>
  <si>
    <t>Bank Charges</t>
  </si>
  <si>
    <t>Bank fees &amp; service charges</t>
  </si>
  <si>
    <t>Total for Bank Charges</t>
  </si>
  <si>
    <t>Interest paid</t>
  </si>
  <si>
    <t>Mortgage interest</t>
  </si>
  <si>
    <t>Total for Interest paid</t>
  </si>
  <si>
    <t>Total for Other Expenses</t>
  </si>
  <si>
    <t>Net Other Income</t>
  </si>
  <si>
    <t>Net Income</t>
  </si>
  <si>
    <t/>
  </si>
  <si>
    <t>210 W Yanonali</t>
  </si>
  <si>
    <t>Total</t>
  </si>
  <si>
    <t>Cash Basis Tuesday, April 14, 2026 08:56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</si>
</sst>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4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C53"/>
  <sheetViews>
    <sheetView tabSelected="1" workbookViewId="0" topLeftCell="A1"/>
  </sheetViews>
  <sheetFormatPr defaultColWidth="11.255" defaultRowHeight="16"/>
  <cols>
    <col min="1" max="1" width="29" style="36" customWidth="1"/>
    <col min="2" max="3" width="16.12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3" ht="16">
      <c r="A5" s="38" t="s">
        <v>47</v>
      </c>
      <c r="B5" s="38" t="s">
        <v>48</v>
      </c>
      <c r="C5" s="38" t="s">
        <v>49</v>
      </c>
    </row>
    <row r="6" spans="1:2" ht="16">
      <c r="A6" s="31" t="s">
        <v>3</v>
      </c>
      <c r="B6" s="39"/>
    </row>
    <row r="7" spans="1:3" ht="16">
      <c r="A7" s="32" t="s">
        <v>4</v>
      </c>
      <c r="B7" s="40">
        <v>170225.3</v>
      </c>
      <c r="C7" s="40">
        <f>B7</f>
        <v>170225.3</v>
      </c>
    </row>
    <row r="8" spans="1:3" ht="16">
      <c r="A8" s="33" t="s">
        <v>5</v>
      </c>
      <c r="B8" s="41">
        <f>B7</f>
        <v>170225.3</v>
      </c>
      <c r="C8" s="42">
        <f>B8</f>
        <v>170225.3</v>
      </c>
    </row>
    <row r="9" spans="1:3" ht="16">
      <c r="A9" s="33" t="s">
        <v>6</v>
      </c>
      <c r="B9" s="41">
        <v>170225.3</v>
      </c>
      <c r="C9" s="42">
        <v>170225.3</v>
      </c>
    </row>
    <row r="10" spans="1:2" ht="16">
      <c r="A10" s="31" t="s">
        <v>7</v>
      </c>
      <c r="B10" s="39"/>
    </row>
    <row r="11" spans="1:3" ht="16">
      <c r="A11" s="32" t="s">
        <v>8</v>
      </c>
      <c r="B11" s="40">
        <v>2400.0</v>
      </c>
      <c r="C11" s="40">
        <f>B11</f>
        <v>2400.0</v>
      </c>
    </row>
    <row r="12" spans="1:3" ht="16">
      <c r="A12" s="34" t="s">
        <v>9</v>
      </c>
      <c r="B12" s="40">
        <v>10.0</v>
      </c>
      <c r="C12" s="40">
        <f>B12</f>
        <v>10.0</v>
      </c>
    </row>
    <row r="13" spans="1:3" ht="16">
      <c r="A13" s="35" t="s">
        <v>10</v>
      </c>
      <c r="B13" s="41">
        <f>B11+B12</f>
        <v>2410.0</v>
      </c>
      <c r="C13" s="42">
        <f>B13</f>
        <v>2410.0</v>
      </c>
    </row>
    <row r="14" spans="1:3" ht="16">
      <c r="A14" s="32" t="s">
        <v>11</v>
      </c>
      <c r="B14" s="40">
        <v>434.95</v>
      </c>
      <c r="C14" s="40">
        <f>B14</f>
        <v>434.95</v>
      </c>
    </row>
    <row r="15" spans="1:3" ht="16">
      <c r="A15" s="32" t="s">
        <v>12</v>
      </c>
      <c r="B15" s="40">
        <v>539.5</v>
      </c>
      <c r="C15" s="40">
        <f>B15</f>
        <v>539.5</v>
      </c>
    </row>
    <row r="16" spans="1:3" ht="16">
      <c r="A16" s="32" t="s">
        <v>13</v>
      </c>
      <c r="B16" s="40">
        <v>17365.29</v>
      </c>
      <c r="C16" s="40">
        <f>B16</f>
        <v>17365.29</v>
      </c>
    </row>
    <row r="17" spans="1:3" ht="16">
      <c r="A17" s="32" t="s">
        <v>14</v>
      </c>
      <c r="B17" s="40">
        <v>450.0</v>
      </c>
      <c r="C17" s="40">
        <f>B17</f>
        <v>450.0</v>
      </c>
    </row>
    <row r="18" spans="1:3" ht="16">
      <c r="A18" s="32" t="s">
        <v>15</v>
      </c>
      <c r="B18" s="39"/>
      <c r="C18" s="39"/>
    </row>
    <row r="19" spans="1:3" ht="16">
      <c r="A19" s="34" t="s">
        <v>16</v>
      </c>
      <c r="B19" s="40">
        <v>23141.28</v>
      </c>
      <c r="C19" s="40">
        <f>B19</f>
        <v>23141.28</v>
      </c>
    </row>
    <row r="20" spans="1:3" ht="16">
      <c r="A20" s="34" t="s">
        <v>17</v>
      </c>
      <c r="B20" s="40">
        <v>450.0</v>
      </c>
      <c r="C20" s="40">
        <f>B20</f>
        <v>450.0</v>
      </c>
    </row>
    <row r="21" spans="1:3" ht="16">
      <c r="A21" s="34" t="s">
        <v>18</v>
      </c>
      <c r="B21" s="40">
        <v>1887.0</v>
      </c>
      <c r="C21" s="40">
        <f>B21</f>
        <v>1887.0</v>
      </c>
    </row>
    <row r="22" spans="1:3" ht="16">
      <c r="A22" s="34" t="s">
        <v>19</v>
      </c>
      <c r="B22" s="40">
        <v>210.0</v>
      </c>
      <c r="C22" s="40">
        <f>B22</f>
        <v>210.0</v>
      </c>
    </row>
    <row r="23" spans="1:3" ht="16">
      <c r="A23" s="35" t="s">
        <v>20</v>
      </c>
      <c r="B23" s="41">
        <f>B18+B19+B20+B21+B22</f>
        <v>25688.28</v>
      </c>
      <c r="C23" s="42">
        <f>B23</f>
        <v>25688.28</v>
      </c>
    </row>
    <row r="24" spans="1:3" ht="16">
      <c r="A24" s="32" t="s">
        <v>21</v>
      </c>
      <c r="B24" s="40">
        <v>6140.12</v>
      </c>
      <c r="C24" s="40">
        <f>B24</f>
        <v>6140.12</v>
      </c>
    </row>
    <row r="25" spans="1:3" ht="16">
      <c r="A25" s="34" t="s">
        <v>22</v>
      </c>
      <c r="B25" s="40">
        <v>3337.59</v>
      </c>
      <c r="C25" s="40">
        <f>B25</f>
        <v>3337.59</v>
      </c>
    </row>
    <row r="26" spans="1:3" ht="16">
      <c r="A26" s="35" t="s">
        <v>23</v>
      </c>
      <c r="B26" s="41">
        <f>B24+B25</f>
        <v>9477.71</v>
      </c>
      <c r="C26" s="42">
        <f>B26</f>
        <v>9477.71</v>
      </c>
    </row>
    <row r="27" spans="1:3" ht="16">
      <c r="A27" s="32" t="s">
        <v>24</v>
      </c>
      <c r="B27" s="39"/>
      <c r="C27" s="39"/>
    </row>
    <row r="28" spans="1:3" ht="16">
      <c r="A28" s="34" t="s">
        <v>25</v>
      </c>
      <c r="B28" s="40">
        <v>15798.09</v>
      </c>
      <c r="C28" s="40">
        <f>B28</f>
        <v>15798.09</v>
      </c>
    </row>
    <row r="29" spans="1:3" ht="16">
      <c r="A29" s="34" t="s">
        <v>26</v>
      </c>
      <c r="B29" s="40">
        <v>13339.62</v>
      </c>
      <c r="C29" s="40">
        <f>B29</f>
        <v>13339.62</v>
      </c>
    </row>
    <row r="30" spans="1:3" ht="16">
      <c r="A30" s="34" t="s">
        <v>27</v>
      </c>
      <c r="B30" s="40">
        <v>1612.76</v>
      </c>
      <c r="C30" s="40">
        <f>B30</f>
        <v>1612.76</v>
      </c>
    </row>
    <row r="31" spans="1:3" ht="16">
      <c r="A31" s="35" t="s">
        <v>28</v>
      </c>
      <c r="B31" s="41">
        <f>B27+B28+B29+B30</f>
        <v>30750.469999999998</v>
      </c>
      <c r="C31" s="42">
        <f>B31</f>
        <v>30750.469999999998</v>
      </c>
    </row>
    <row r="32" spans="1:3" ht="16">
      <c r="A32" s="32" t="s">
        <v>29</v>
      </c>
      <c r="B32" s="39"/>
      <c r="C32" s="39"/>
    </row>
    <row r="33" spans="1:3" ht="16">
      <c r="A33" s="34" t="s">
        <v>30</v>
      </c>
      <c r="B33" s="40">
        <v>50.0</v>
      </c>
      <c r="C33" s="40">
        <f>B33</f>
        <v>50.0</v>
      </c>
    </row>
    <row r="34" spans="1:3" ht="16">
      <c r="A34" s="34" t="s">
        <v>31</v>
      </c>
      <c r="B34" s="40">
        <v>564.3</v>
      </c>
      <c r="C34" s="40">
        <f>B34</f>
        <v>564.3</v>
      </c>
    </row>
    <row r="35" spans="1:3" ht="16">
      <c r="A35" s="34" t="s">
        <v>32</v>
      </c>
      <c r="B35" s="40">
        <v>1163.25</v>
      </c>
      <c r="C35" s="40">
        <f>B35</f>
        <v>1163.25</v>
      </c>
    </row>
    <row r="36" spans="1:3" ht="16">
      <c r="A36" s="34" t="s">
        <v>33</v>
      </c>
      <c r="B36" s="40">
        <v>444.24</v>
      </c>
      <c r="C36" s="40">
        <f>B36</f>
        <v>444.24</v>
      </c>
    </row>
    <row r="37" spans="1:3" ht="16">
      <c r="A37" s="35" t="s">
        <v>34</v>
      </c>
      <c r="B37" s="41">
        <f>B32+B33+B34+B35+B36</f>
        <v>2221.79</v>
      </c>
      <c r="C37" s="42">
        <f>B37</f>
        <v>2221.79</v>
      </c>
    </row>
    <row r="38" spans="1:3" ht="16">
      <c r="A38" s="33" t="s">
        <v>35</v>
      </c>
      <c r="B38" s="41">
        <f>B13+B14+B15+B16+B17+B23+B26+B31+B37</f>
        <v>89337.98999999999</v>
      </c>
      <c r="C38" s="42">
        <f>B38</f>
        <v>89337.98999999999</v>
      </c>
    </row>
    <row r="39" spans="1:3" ht="16">
      <c r="A39" s="33" t="s">
        <v>36</v>
      </c>
      <c r="B39" s="41">
        <v>80887.31</v>
      </c>
      <c r="C39" s="42">
        <f>B39</f>
        <v>80887.31</v>
      </c>
    </row>
    <row r="40" spans="1:2" ht="16">
      <c r="A40" s="31" t="s">
        <v>37</v>
      </c>
      <c r="B40" s="39"/>
    </row>
    <row r="41" spans="1:3" ht="16">
      <c r="A41" s="32" t="s">
        <v>38</v>
      </c>
      <c r="B41" s="39"/>
      <c r="C41" s="39"/>
    </row>
    <row r="42" spans="1:3" ht="16">
      <c r="A42" s="34" t="s">
        <v>39</v>
      </c>
      <c r="B42" s="40">
        <v>357.3</v>
      </c>
      <c r="C42" s="40">
        <f>B42</f>
        <v>357.3</v>
      </c>
    </row>
    <row r="43" spans="1:3" ht="16">
      <c r="A43" s="35" t="s">
        <v>40</v>
      </c>
      <c r="B43" s="41">
        <f>B41+B42</f>
        <v>357.3</v>
      </c>
      <c r="C43" s="42">
        <f>B43</f>
        <v>357.3</v>
      </c>
    </row>
    <row r="44" spans="1:3" ht="16">
      <c r="A44" s="32" t="s">
        <v>41</v>
      </c>
      <c r="B44" s="39"/>
      <c r="C44" s="39"/>
    </row>
    <row r="45" spans="1:3" ht="16">
      <c r="A45" s="34" t="s">
        <v>42</v>
      </c>
      <c r="B45" s="40">
        <v>71250.0</v>
      </c>
      <c r="C45" s="40">
        <f>B45</f>
        <v>71250.0</v>
      </c>
    </row>
    <row r="46" spans="1:3" ht="16">
      <c r="A46" s="35" t="s">
        <v>43</v>
      </c>
      <c r="B46" s="41">
        <f>B44+B45</f>
        <v>71250.0</v>
      </c>
      <c r="C46" s="42">
        <f>B46</f>
        <v>71250.0</v>
      </c>
    </row>
    <row r="47" spans="1:3" ht="16">
      <c r="A47" s="33" t="s">
        <v>44</v>
      </c>
      <c r="B47" s="41">
        <f>B43+B46</f>
        <v>71607.3</v>
      </c>
      <c r="C47" s="42">
        <f>B47</f>
        <v>71607.3</v>
      </c>
    </row>
    <row r="48" spans="1:3" ht="16">
      <c r="A48" s="33" t="s">
        <v>45</v>
      </c>
      <c r="B48" s="41">
        <v>-71607.3</v>
      </c>
      <c r="C48" s="42">
        <f>B48</f>
        <v>-71607.3</v>
      </c>
    </row>
    <row r="49" spans="1:3" ht="16">
      <c r="A49" s="33" t="s">
        <v>46</v>
      </c>
      <c r="B49" s="41">
        <v>9280.009999999995</v>
      </c>
      <c r="C49" s="42">
        <f>B49</f>
        <v>9280.009999999995</v>
      </c>
    </row>
    <row r="53" spans="1:1" ht="16">
      <c r="A53" s="43" t="s">
        <v>50</v>
      </c>
    </row>
  </sheetData>
  <mergeCells count="4">
    <mergeCell ref="A1:C1"/>
    <mergeCell ref="A2:C2"/>
    <mergeCell ref="A3:C3"/>
    <mergeCell ref="A53:C5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