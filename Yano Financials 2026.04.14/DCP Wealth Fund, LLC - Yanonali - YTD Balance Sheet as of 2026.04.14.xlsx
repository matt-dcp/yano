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0" i="1" l="1"/>
</calcChain>
</file>

<file path=xl/sharedStrings.xml><?xml version="1.0" encoding="utf-8"?>
<sst xmlns="http://schemas.openxmlformats.org/spreadsheetml/2006/main" count="62" uniqueCount="62">
  <si>
    <t>Balance Sheet</t>
  </si>
  <si>
    <t>DCP Wealth Fund, LLC</t>
  </si>
  <si>
    <t>As of Apr 14, 2026</t>
  </si>
  <si>
    <t>Assets</t>
  </si>
  <si>
    <t>Current Assets</t>
  </si>
  <si>
    <t>Bank Accounts</t>
  </si>
  <si>
    <t>DCP Wealth Fund Checking #1715 - ARB</t>
  </si>
  <si>
    <t>Total for Bank Accounts</t>
  </si>
  <si>
    <t>Total for Current Assets</t>
  </si>
  <si>
    <t>Fixed Assets</t>
  </si>
  <si>
    <t>Acquisition Fee</t>
  </si>
  <si>
    <t>Appliances</t>
  </si>
  <si>
    <t>Buildings</t>
  </si>
  <si>
    <t>Cost Segregation</t>
  </si>
  <si>
    <t>Fundraising Fee</t>
  </si>
  <si>
    <t>Furniture &amp; fixtures</t>
  </si>
  <si>
    <t>Land</t>
  </si>
  <si>
    <t>Landscaping</t>
  </si>
  <si>
    <t>Photography</t>
  </si>
  <si>
    <t>Rehab Costs</t>
  </si>
  <si>
    <t>Hard Costs</t>
  </si>
  <si>
    <t>Contractors/Labor</t>
  </si>
  <si>
    <t>Materials</t>
  </si>
  <si>
    <t>Total for Hard Costs</t>
  </si>
  <si>
    <t>Soft Costs</t>
  </si>
  <si>
    <t>Architectural/Planning</t>
  </si>
  <si>
    <t>Inspection Fees</t>
  </si>
  <si>
    <t>Legal &amp; Professional</t>
  </si>
  <si>
    <t>Permit Fees</t>
  </si>
  <si>
    <t>Rehab Management</t>
  </si>
  <si>
    <t>Survey</t>
  </si>
  <si>
    <t>Tenants Relocation Fees</t>
  </si>
  <si>
    <t>Total for Soft Costs</t>
  </si>
  <si>
    <t>Total for Rehab Costs</t>
  </si>
  <si>
    <t>Total for Fixed Assets</t>
  </si>
  <si>
    <t>Total for Assets</t>
  </si>
  <si>
    <t>Liabilities and Equity</t>
  </si>
  <si>
    <t>Liabilities</t>
  </si>
  <si>
    <t>Current Liabilities</t>
  </si>
  <si>
    <t>Other Current Liabilities</t>
  </si>
  <si>
    <t>Due to DCP</t>
  </si>
  <si>
    <t>Security Deposits</t>
  </si>
  <si>
    <t>STL from DCP #1176</t>
  </si>
  <si>
    <t>Total for Other Current Liabilities</t>
  </si>
  <si>
    <t>Total for Current Liabilities</t>
  </si>
  <si>
    <t>Long-term Liabilities</t>
  </si>
  <si>
    <t>Yanonali Lenders</t>
  </si>
  <si>
    <t>CDRBC, LLC, a Delaware limited liability company</t>
  </si>
  <si>
    <t>GFT IRA, LLC, a California limited liability copany</t>
  </si>
  <si>
    <t>Total for Yanonali Lenders</t>
  </si>
  <si>
    <t>Total for Long-term Liabilities</t>
  </si>
  <si>
    <t>Total for Liabilities</t>
  </si>
  <si>
    <t>Equity</t>
  </si>
  <si>
    <t>Owner Investments</t>
  </si>
  <si>
    <t>Retained Earnings</t>
  </si>
  <si>
    <t>Net Income</t>
  </si>
  <si>
    <t>Total for Equity</t>
  </si>
  <si>
    <t>Total for Liabilities and Equity</t>
  </si>
  <si>
    <t/>
  </si>
  <si>
    <t>210 W Yanonali</t>
  </si>
  <si>
    <t>Total</t>
  </si>
  <si>
    <t>Cash Basis Tuesday, April 14, 2026 08:58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</si>
</sst>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6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0" fillId="0" borderId="0" xfId="0" applyAlignment="1">
      <alignment horizontal="left" indent="4"/>
    </xf>
    <xf numFmtId="0" fontId="3" fillId="0" borderId="0" xfId="0" applyFont="1" applyAlignment="1">
      <alignment horizontal="left" indent="4"/>
    </xf>
    <xf numFmtId="0" fontId="2" fillId="0" borderId="0" xfId="0" applyFont="1" applyAlignment="1">
      <alignment horizontal="left" indent="3"/>
    </xf>
    <xf numFmtId="0" fontId="4" fillId="0" borderId="0" xfId="0" applyFont="1" applyAlignment="1">
      <alignment horizontal="left" indent="3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4"/>
    </xf>
    <xf numFmtId="0" fontId="4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C64"/>
  <sheetViews>
    <sheetView tabSelected="1" workbookViewId="0" topLeftCell="A1"/>
  </sheetViews>
  <sheetFormatPr defaultColWidth="11.255" defaultRowHeight="16"/>
  <cols>
    <col min="1" max="1" width="44.5" style="48" customWidth="1"/>
    <col min="2" max="3" width="17" style="48" customWidth="1"/>
  </cols>
  <sheetData>
    <row r="1" spans="1:1" ht="16">
      <c r="A1" s="35" t="s">
        <v>0</v>
      </c>
    </row>
    <row r="2" spans="1:1" ht="16">
      <c r="A2" s="36" t="s">
        <v>1</v>
      </c>
    </row>
    <row r="3" spans="1:1" ht="16">
      <c r="A3" s="37" t="s">
        <v>2</v>
      </c>
    </row>
    <row r="5" spans="1:3" ht="16">
      <c r="A5" s="50" t="s">
        <v>58</v>
      </c>
      <c r="B5" s="50" t="s">
        <v>59</v>
      </c>
      <c r="C5" s="50" t="s">
        <v>60</v>
      </c>
    </row>
    <row r="6" spans="1:2" ht="16">
      <c r="A6" s="39" t="s">
        <v>3</v>
      </c>
      <c r="B6" s="51"/>
    </row>
    <row r="7" spans="1:2" ht="16">
      <c r="A7" s="40" t="s">
        <v>4</v>
      </c>
      <c r="B7" s="51"/>
    </row>
    <row r="8" spans="1:2" ht="16">
      <c r="A8" s="41" t="s">
        <v>5</v>
      </c>
      <c r="B8" s="51"/>
    </row>
    <row r="9" spans="1:3" ht="16">
      <c r="A9" s="42" t="s">
        <v>6</v>
      </c>
      <c r="B9" s="52">
        <v>1457.0</v>
      </c>
      <c r="C9" s="52">
        <f>B9</f>
        <v>1457.0</v>
      </c>
    </row>
    <row r="10" spans="1:3" ht="16">
      <c r="A10" s="43" t="s">
        <v>7</v>
      </c>
      <c r="B10" s="53">
        <f>B8+B9</f>
        <v>1457.0</v>
      </c>
      <c r="C10" s="54">
        <f>B10</f>
        <v>1457.0</v>
      </c>
    </row>
    <row r="11" spans="1:3" ht="16">
      <c r="A11" s="44" t="s">
        <v>8</v>
      </c>
      <c r="B11" s="53">
        <f>B7+B10</f>
        <v>1457.0</v>
      </c>
      <c r="C11" s="54">
        <f>B11</f>
        <v>1457.0</v>
      </c>
    </row>
    <row r="12" spans="1:2" ht="16">
      <c r="A12" s="40" t="s">
        <v>9</v>
      </c>
      <c r="B12" s="51"/>
    </row>
    <row r="13" spans="1:3" ht="16">
      <c r="A13" s="41" t="s">
        <v>10</v>
      </c>
      <c r="B13" s="52">
        <v>49500.0</v>
      </c>
      <c r="C13" s="52">
        <f>B13</f>
        <v>49500.0</v>
      </c>
    </row>
    <row r="14" spans="1:3" ht="16">
      <c r="A14" s="41" t="s">
        <v>11</v>
      </c>
      <c r="B14" s="52">
        <v>1810.81</v>
      </c>
      <c r="C14" s="52">
        <f>B14</f>
        <v>1810.81</v>
      </c>
    </row>
    <row r="15" spans="1:3" ht="16">
      <c r="A15" s="41" t="s">
        <v>12</v>
      </c>
      <c r="B15" s="52">
        <v>1890016.53</v>
      </c>
      <c r="C15" s="52">
        <f>B15</f>
        <v>1890016.53</v>
      </c>
    </row>
    <row r="16" spans="1:3" ht="16">
      <c r="A16" s="41" t="s">
        <v>13</v>
      </c>
      <c r="B16" s="52">
        <v>5920.0</v>
      </c>
      <c r="C16" s="52">
        <f>B16</f>
        <v>5920.0</v>
      </c>
    </row>
    <row r="17" spans="1:3" ht="16">
      <c r="A17" s="41" t="s">
        <v>14</v>
      </c>
      <c r="B17" s="52">
        <v>11250.0</v>
      </c>
      <c r="C17" s="52">
        <f>B17</f>
        <v>11250.0</v>
      </c>
    </row>
    <row r="18" spans="1:3" ht="16">
      <c r="A18" s="41" t="s">
        <v>15</v>
      </c>
      <c r="B18" s="52">
        <v>73760.68</v>
      </c>
      <c r="C18" s="52">
        <f>B18</f>
        <v>73760.68</v>
      </c>
    </row>
    <row r="19" spans="1:3" ht="16">
      <c r="A19" s="41" t="s">
        <v>16</v>
      </c>
      <c r="B19" s="52">
        <v>596847.33</v>
      </c>
      <c r="C19" s="52">
        <f>B19</f>
        <v>596847.33</v>
      </c>
    </row>
    <row r="20" spans="1:3" ht="16">
      <c r="A20" s="41" t="s">
        <v>17</v>
      </c>
      <c r="B20" s="52">
        <v>821.86</v>
      </c>
      <c r="C20" s="52">
        <f>B20</f>
        <v>821.86</v>
      </c>
    </row>
    <row r="21" spans="1:3" ht="16">
      <c r="A21" s="41" t="s">
        <v>18</v>
      </c>
      <c r="B21" s="52">
        <v>2175.0</v>
      </c>
      <c r="C21" s="52">
        <f>B21</f>
        <v>2175.0</v>
      </c>
    </row>
    <row r="22" spans="1:3" ht="16">
      <c r="A22" s="41" t="s">
        <v>19</v>
      </c>
      <c r="B22" s="51"/>
      <c r="C22" s="51"/>
    </row>
    <row r="23" spans="1:3" ht="16">
      <c r="A23" s="42" t="s">
        <v>20</v>
      </c>
      <c r="B23" s="52">
        <v>201886.43</v>
      </c>
      <c r="C23" s="52">
        <f>B23</f>
        <v>201886.43</v>
      </c>
    </row>
    <row r="24" spans="1:3" ht="16">
      <c r="A24" s="45" t="s">
        <v>21</v>
      </c>
      <c r="B24" s="52">
        <v>1026420.32</v>
      </c>
      <c r="C24" s="52">
        <f>B24</f>
        <v>1026420.32</v>
      </c>
    </row>
    <row r="25" spans="1:3" ht="16">
      <c r="A25" s="45" t="s">
        <v>22</v>
      </c>
      <c r="B25" s="52">
        <v>177337.62</v>
      </c>
      <c r="C25" s="52">
        <f>B25</f>
        <v>177337.62</v>
      </c>
    </row>
    <row r="26" spans="1:3" ht="16">
      <c r="A26" s="46" t="s">
        <v>23</v>
      </c>
      <c r="B26" s="53">
        <f>B23+B24+B25</f>
        <v>1405644.37</v>
      </c>
      <c r="C26" s="54">
        <f>B26</f>
        <v>1405644.37</v>
      </c>
    </row>
    <row r="27" spans="1:3" ht="16">
      <c r="A27" s="42" t="s">
        <v>24</v>
      </c>
      <c r="B27" s="51"/>
      <c r="C27" s="51"/>
    </row>
    <row r="28" spans="1:3" ht="16">
      <c r="A28" s="45" t="s">
        <v>25</v>
      </c>
      <c r="B28" s="52">
        <v>25391.16</v>
      </c>
      <c r="C28" s="52">
        <f>B28</f>
        <v>25391.16</v>
      </c>
    </row>
    <row r="29" spans="1:3" ht="16">
      <c r="A29" s="45" t="s">
        <v>26</v>
      </c>
      <c r="B29" s="52">
        <v>4135.0</v>
      </c>
      <c r="C29" s="52">
        <f>B29</f>
        <v>4135.0</v>
      </c>
    </row>
    <row r="30" spans="1:3" ht="16">
      <c r="A30" s="45" t="s">
        <v>27</v>
      </c>
      <c r="B30" s="52">
        <v>1725.0</v>
      </c>
      <c r="C30" s="52">
        <f>B30</f>
        <v>1725.0</v>
      </c>
    </row>
    <row r="31" spans="1:3" ht="16">
      <c r="A31" s="45" t="s">
        <v>28</v>
      </c>
      <c r="B31" s="52">
        <v>16663.46</v>
      </c>
      <c r="C31" s="52">
        <f>B31</f>
        <v>16663.46</v>
      </c>
    </row>
    <row r="32" spans="1:3" ht="16">
      <c r="A32" s="45" t="s">
        <v>29</v>
      </c>
      <c r="B32" s="52">
        <v>59884.49</v>
      </c>
      <c r="C32" s="52">
        <f>B32</f>
        <v>59884.49</v>
      </c>
    </row>
    <row r="33" spans="1:3" ht="16">
      <c r="A33" s="45" t="s">
        <v>30</v>
      </c>
      <c r="B33" s="52">
        <v>895.0</v>
      </c>
      <c r="C33" s="52">
        <f>B33</f>
        <v>895.0</v>
      </c>
    </row>
    <row r="34" spans="1:3" ht="16">
      <c r="A34" s="45" t="s">
        <v>31</v>
      </c>
      <c r="B34" s="52">
        <v>51150.0</v>
      </c>
      <c r="C34" s="52">
        <f>B34</f>
        <v>51150.0</v>
      </c>
    </row>
    <row r="35" spans="1:3" ht="16">
      <c r="A35" s="46" t="s">
        <v>32</v>
      </c>
      <c r="B35" s="53">
        <f>B27+B28+B29+B30+B31+B32+B33+B34</f>
        <v>159844.11</v>
      </c>
      <c r="C35" s="54">
        <f>B35</f>
        <v>159844.11</v>
      </c>
    </row>
    <row r="36" spans="1:3" ht="16">
      <c r="A36" s="43" t="s">
        <v>33</v>
      </c>
      <c r="B36" s="53">
        <f>B22+B26+B35</f>
        <v>1565488.48</v>
      </c>
      <c r="C36" s="54">
        <f>B36</f>
        <v>1565488.48</v>
      </c>
    </row>
    <row r="37" spans="1:3" ht="16">
      <c r="A37" s="44" t="s">
        <v>34</v>
      </c>
      <c r="B37" s="53">
        <f>B12+B13+B14+B15+B16+B17+B18+B19+B20+B21+B36</f>
        <v>4197590.6899999995</v>
      </c>
      <c r="C37" s="54">
        <f>B37</f>
        <v>4197590.6899999995</v>
      </c>
    </row>
    <row r="38" spans="1:3" ht="16">
      <c r="A38" s="47" t="s">
        <v>35</v>
      </c>
      <c r="B38" s="53">
        <f>B11+B37</f>
        <v>4199047.6899999995</v>
      </c>
      <c r="C38" s="54">
        <f>B38</f>
        <v>4199047.6899999995</v>
      </c>
    </row>
    <row r="39" spans="1:2" ht="16">
      <c r="A39" s="39" t="s">
        <v>36</v>
      </c>
      <c r="B39" s="51"/>
    </row>
    <row r="40" spans="1:2" ht="16">
      <c r="A40" s="40" t="s">
        <v>37</v>
      </c>
      <c r="B40" s="51"/>
    </row>
    <row r="41" spans="1:2" ht="16">
      <c r="A41" s="41" t="s">
        <v>38</v>
      </c>
      <c r="B41" s="51"/>
    </row>
    <row r="42" spans="1:2" ht="16">
      <c r="A42" s="42" t="s">
        <v>39</v>
      </c>
      <c r="B42" s="51"/>
    </row>
    <row r="43" spans="1:3" ht="16">
      <c r="A43" s="45" t="s">
        <v>40</v>
      </c>
      <c r="B43" s="52">
        <v>1063.95</v>
      </c>
      <c r="C43" s="52">
        <f>B43</f>
        <v>1063.95</v>
      </c>
    </row>
    <row r="44" spans="1:3" ht="16">
      <c r="A44" s="45" t="s">
        <v>41</v>
      </c>
      <c r="B44" s="52">
        <v>1000.0</v>
      </c>
      <c r="C44" s="52">
        <f>B44</f>
        <v>1000.0</v>
      </c>
    </row>
    <row r="45" spans="1:3" ht="16">
      <c r="A45" s="45" t="s">
        <v>42</v>
      </c>
      <c r="B45" s="52">
        <v>0</v>
      </c>
      <c r="C45" s="52">
        <f>B45</f>
        <v>0.0</v>
      </c>
    </row>
    <row r="46" spans="1:3" ht="16">
      <c r="A46" s="46" t="s">
        <v>43</v>
      </c>
      <c r="B46" s="53">
        <f>B42+B43+B44+B45</f>
        <v>2063.95</v>
      </c>
      <c r="C46" s="54">
        <f>B46</f>
        <v>2063.95</v>
      </c>
    </row>
    <row r="47" spans="1:3" ht="16">
      <c r="A47" s="43" t="s">
        <v>44</v>
      </c>
      <c r="B47" s="53">
        <f>B41+B46</f>
        <v>2063.95</v>
      </c>
      <c r="C47" s="54">
        <f>B47</f>
        <v>2063.95</v>
      </c>
    </row>
    <row r="48" spans="1:2" ht="16">
      <c r="A48" s="41" t="s">
        <v>45</v>
      </c>
      <c r="B48" s="51"/>
    </row>
    <row r="49" spans="1:3" ht="16">
      <c r="A49" s="42" t="s">
        <v>46</v>
      </c>
      <c r="B49" s="51"/>
      <c r="C49" s="51"/>
    </row>
    <row r="50" spans="1:3" ht="16">
      <c r="A50" s="45" t="s">
        <v>47</v>
      </c>
      <c r="B50" s="52">
        <v>1000000.0</v>
      </c>
      <c r="C50" s="52">
        <f>B50</f>
        <v>1000000.0</v>
      </c>
    </row>
    <row r="51" spans="1:3" ht="16">
      <c r="A51" s="45" t="s">
        <v>48</v>
      </c>
      <c r="B51" s="52">
        <v>500000.0</v>
      </c>
      <c r="C51" s="52">
        <f>B51</f>
        <v>500000.0</v>
      </c>
    </row>
    <row r="52" spans="1:3" ht="16">
      <c r="A52" s="46" t="s">
        <v>49</v>
      </c>
      <c r="B52" s="53">
        <f>B49+B50+B51</f>
        <v>1500000.0</v>
      </c>
      <c r="C52" s="54">
        <f>B52</f>
        <v>1500000.0</v>
      </c>
    </row>
    <row r="53" spans="1:3" ht="16">
      <c r="A53" s="43" t="s">
        <v>50</v>
      </c>
      <c r="B53" s="53">
        <f>B48+B52</f>
        <v>1500000.0</v>
      </c>
      <c r="C53" s="54">
        <f>B53</f>
        <v>1500000.0</v>
      </c>
    </row>
    <row r="54" spans="1:3" ht="16">
      <c r="A54" s="44" t="s">
        <v>51</v>
      </c>
      <c r="B54" s="53">
        <f>B40+B47+B53</f>
        <v>1502063.95</v>
      </c>
      <c r="C54" s="54">
        <f>B54</f>
        <v>1502063.95</v>
      </c>
    </row>
    <row r="55" spans="1:2" ht="16">
      <c r="A55" s="40" t="s">
        <v>52</v>
      </c>
      <c r="B55" s="51"/>
    </row>
    <row r="56" spans="1:3" ht="16">
      <c r="A56" s="41" t="s">
        <v>53</v>
      </c>
      <c r="B56" s="52">
        <v>0</v>
      </c>
      <c r="C56" s="52">
        <f>B56</f>
        <v>0.0</v>
      </c>
    </row>
    <row r="57" spans="1:3" ht="16">
      <c r="A57" s="41" t="s">
        <v>54</v>
      </c>
      <c r="B57" s="52">
        <v>-343121.0800000001</v>
      </c>
      <c r="C57" s="52">
        <f>B57</f>
        <v>-343121.0800000001</v>
      </c>
    </row>
    <row r="58" spans="1:3" ht="16">
      <c r="A58" s="41" t="s">
        <v>55</v>
      </c>
      <c r="B58" s="52">
        <v>9280.00999999998</v>
      </c>
      <c r="C58" s="52">
        <f>B58</f>
        <v>9280.00999999998</v>
      </c>
    </row>
    <row r="59" spans="1:3" ht="16">
      <c r="A59" s="44" t="s">
        <v>56</v>
      </c>
      <c r="B59" s="53">
        <f>B55+B56+B57+B58</f>
        <v>-333841.07000000007</v>
      </c>
      <c r="C59" s="54">
        <f>B59</f>
        <v>-333841.07000000007</v>
      </c>
    </row>
    <row r="60" spans="1:3" ht="16">
      <c r="A60" s="47" t="s">
        <v>57</v>
      </c>
      <c r="B60" s="53">
        <f>B54+B59</f>
        <v>1168222.88</v>
      </c>
      <c r="C60" s="54">
        <f>B60</f>
        <v>1168222.88</v>
      </c>
    </row>
    <row r="64" spans="1:1" ht="16">
      <c r="A64" s="55" t="s">
        <v>61</v>
      </c>
    </row>
  </sheetData>
  <mergeCells count="4">
    <mergeCell ref="A1:C1"/>
    <mergeCell ref="A2:C2"/>
    <mergeCell ref="A3:C3"/>
    <mergeCell ref="A64:C6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