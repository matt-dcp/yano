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Project History" sheetId="2" state="visible" r:id="rId2"/>
    <sheet xmlns:r="http://schemas.openxmlformats.org/officeDocument/2006/relationships" name="P&amp;L (2026 YTD)" sheetId="3" state="visible" r:id="rId3"/>
    <sheet xmlns:r="http://schemas.openxmlformats.org/officeDocument/2006/relationships" name="Operating Detail" sheetId="4" state="visible" r:id="rId4"/>
    <sheet xmlns:r="http://schemas.openxmlformats.org/officeDocument/2006/relationships" name="Forward Bookings" sheetId="5" state="visible" r:id="rId5"/>
    <sheet xmlns:r="http://schemas.openxmlformats.org/officeDocument/2006/relationships" name="Pro Forma" sheetId="6" state="visible" r:id="rId6"/>
  </sheets>
  <definedNames/>
  <calcPr calcId="124519" fullCalcOnLoad="1"/>
</workbook>
</file>

<file path=xl/styles.xml><?xml version="1.0" encoding="utf-8"?>
<styleSheet xmlns="http://schemas.openxmlformats.org/spreadsheetml/2006/main">
  <numFmts count="2">
    <numFmt numFmtId="164" formatCode="$#,##0;($#,##0);&quot;-&quot;"/>
    <numFmt numFmtId="165" formatCode="0.0%"/>
  </numFmts>
  <fonts count="16">
    <font>
      <name val="Calibri"/>
      <family val="2"/>
      <color theme="1"/>
      <sz val="11"/>
      <scheme val="minor"/>
    </font>
    <font>
      <name val="Arial"/>
      <b val="1"/>
      <color rgb="002D2D2D"/>
      <sz val="18"/>
    </font>
    <font>
      <name val="Arial"/>
      <color rgb="00666666"/>
      <sz val="11"/>
    </font>
    <font>
      <name val="Arial"/>
      <color rgb="00999999"/>
      <sz val="9"/>
    </font>
    <font>
      <name val="Arial"/>
      <b val="1"/>
      <color rgb="002D2D2D"/>
      <sz val="12"/>
    </font>
    <font>
      <name val="Arial"/>
      <color rgb="00333333"/>
      <sz val="10"/>
    </font>
    <font>
      <name val="Arial"/>
      <b val="1"/>
      <color rgb="00333333"/>
      <sz val="10"/>
    </font>
    <font>
      <name val="Arial"/>
      <b val="1"/>
      <color rgb="002D2D2D"/>
      <sz val="11"/>
    </font>
    <font>
      <name val="Arial"/>
      <color rgb="00008000"/>
      <sz val="10"/>
    </font>
    <font>
      <name val="Arial"/>
      <b val="1"/>
      <color rgb="004CAF50"/>
      <sz val="11"/>
    </font>
    <font>
      <name val="Arial"/>
      <b val="1"/>
      <color rgb="002D2D2D"/>
      <sz val="14"/>
    </font>
    <font>
      <name val="Arial"/>
      <b val="1"/>
      <color rgb="00FFFFFF"/>
      <sz val="11"/>
    </font>
    <font>
      <name val="Arial"/>
      <b val="1"/>
      <color rgb="00E53935"/>
      <sz val="11"/>
    </font>
    <font>
      <name val="Arial"/>
      <b val="1"/>
      <color rgb="002D8B2D"/>
      <sz val="12"/>
    </font>
    <font>
      <name val="Arial"/>
      <i val="1"/>
      <color rgb="00666666"/>
      <sz val="9"/>
    </font>
    <font>
      <name val="Arial"/>
      <b val="1"/>
      <color rgb="00FFFFFF"/>
      <sz val="9"/>
    </font>
  </fonts>
  <fills count="10">
    <fill>
      <patternFill/>
    </fill>
    <fill>
      <patternFill patternType="gray125"/>
    </fill>
    <fill>
      <patternFill patternType="solid">
        <fgColor rgb="002D2D2D"/>
      </patternFill>
    </fill>
    <fill>
      <patternFill patternType="solid">
        <fgColor rgb="00F5F5F5"/>
      </patternFill>
    </fill>
    <fill>
      <patternFill patternType="solid">
        <fgColor rgb="00F5ECD7"/>
      </patternFill>
    </fill>
    <fill>
      <patternFill patternType="solid">
        <fgColor rgb="00E8F5E9"/>
      </patternFill>
    </fill>
    <fill>
      <patternFill patternType="solid">
        <fgColor rgb="004CAF50"/>
      </patternFill>
    </fill>
    <fill>
      <patternFill patternType="solid">
        <fgColor rgb="002196F3"/>
      </patternFill>
    </fill>
    <fill>
      <patternFill patternType="solid">
        <fgColor rgb="009E9E9E"/>
      </patternFill>
    </fill>
    <fill>
      <patternFill patternType="solid">
        <fgColor rgb="00FFFDE7"/>
      </patternFill>
    </fill>
  </fills>
  <borders count="5">
    <border>
      <left/>
      <right/>
      <top/>
      <bottom/>
      <diagonal/>
    </border>
    <border>
      <bottom style="medium">
        <color rgb="002D2D2D"/>
      </bottom>
    </border>
    <border>
      <bottom style="thin">
        <color rgb="00DDDDDD"/>
      </bottom>
    </border>
    <border>
      <top style="medium">
        <color rgb="002D2D2D"/>
      </top>
      <bottom style="medium">
        <color rgb="002D2D2D"/>
      </bottom>
    </border>
    <border>
      <top style="medium">
        <color rgb="002D2D2D"/>
      </top>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1" pivotButton="0" quotePrefix="0" xfId="0"/>
    <xf numFmtId="0" fontId="0" fillId="0" borderId="1" pivotButton="0" quotePrefix="0" xfId="0"/>
    <xf numFmtId="0" fontId="5" fillId="0" borderId="2" pivotButton="0" quotePrefix="0" xfId="0"/>
    <xf numFmtId="164" fontId="5" fillId="0" borderId="2" pivotButton="0" quotePrefix="0" xfId="0"/>
    <xf numFmtId="0" fontId="6" fillId="0" borderId="2" pivotButton="0" quotePrefix="0" xfId="0"/>
    <xf numFmtId="164" fontId="6" fillId="0" borderId="2" pivotButton="0" quotePrefix="0" xfId="0"/>
    <xf numFmtId="165" fontId="5" fillId="0" borderId="2" pivotButton="0" quotePrefix="0" xfId="0"/>
    <xf numFmtId="0" fontId="5" fillId="0" borderId="0" pivotButton="0" quotePrefix="0" xfId="0"/>
    <xf numFmtId="0" fontId="7" fillId="0" borderId="3" pivotButton="0" quotePrefix="0" xfId="0"/>
    <xf numFmtId="164" fontId="7" fillId="0" borderId="3" pivotButton="0" quotePrefix="0" xfId="0"/>
    <xf numFmtId="164" fontId="8" fillId="0" borderId="2" pivotButton="0" quotePrefix="0" xfId="0"/>
    <xf numFmtId="0" fontId="9" fillId="0" borderId="2" pivotButton="0" quotePrefix="0" xfId="0"/>
    <xf numFmtId="164" fontId="9" fillId="0" borderId="2" pivotButton="0" quotePrefix="0" xfId="0"/>
    <xf numFmtId="165" fontId="6" fillId="0" borderId="2" pivotButton="0" quotePrefix="0" xfId="0"/>
    <xf numFmtId="0" fontId="10" fillId="0" borderId="0" pivotButton="0" quotePrefix="0" xfId="0"/>
    <xf numFmtId="0" fontId="11" fillId="2" borderId="0" applyAlignment="1" pivotButton="0" quotePrefix="0" xfId="0">
      <alignment horizontal="center" vertical="center" wrapText="1"/>
    </xf>
    <xf numFmtId="0" fontId="11" fillId="2" borderId="0" applyAlignment="1" pivotButton="0" quotePrefix="0" xfId="0">
      <alignment horizontal="center"/>
    </xf>
    <xf numFmtId="0" fontId="6" fillId="3" borderId="0" pivotButton="0" quotePrefix="0" xfId="0"/>
    <xf numFmtId="0" fontId="0" fillId="3" borderId="0" pivotButton="0" quotePrefix="0" xfId="0"/>
    <xf numFmtId="0" fontId="6" fillId="4" borderId="2" pivotButton="0" quotePrefix="0" xfId="0"/>
    <xf numFmtId="164" fontId="6" fillId="4" borderId="2" pivotButton="0" quotePrefix="0" xfId="0"/>
    <xf numFmtId="0" fontId="12" fillId="0" borderId="1" pivotButton="0" quotePrefix="0" xfId="0"/>
    <xf numFmtId="164" fontId="12" fillId="0" borderId="1" pivotButton="0" quotePrefix="0" xfId="0"/>
    <xf numFmtId="0" fontId="13" fillId="5" borderId="1" pivotButton="0" quotePrefix="0" xfId="0"/>
    <xf numFmtId="164" fontId="13" fillId="5" borderId="1" pivotButton="0" quotePrefix="0" xfId="0"/>
    <xf numFmtId="0" fontId="14" fillId="0" borderId="0" pivotButton="0" quotePrefix="0" xfId="0"/>
    <xf numFmtId="0" fontId="14" fillId="0" borderId="0" applyAlignment="1" pivotButton="0" quotePrefix="0" xfId="0">
      <alignment horizontal="center"/>
    </xf>
    <xf numFmtId="0" fontId="6" fillId="0" borderId="0" pivotButton="0" quotePrefix="0" xfId="0"/>
    <xf numFmtId="0" fontId="15" fillId="6" borderId="0" applyAlignment="1" pivotButton="0" quotePrefix="0" xfId="0">
      <alignment horizontal="center"/>
    </xf>
    <xf numFmtId="0" fontId="15" fillId="7" borderId="0" applyAlignment="1" pivotButton="0" quotePrefix="0" xfId="0">
      <alignment horizontal="center"/>
    </xf>
    <xf numFmtId="0" fontId="15" fillId="8" borderId="0" applyAlignment="1" pivotButton="0" quotePrefix="0" xfId="0">
      <alignment horizontal="center"/>
    </xf>
    <xf numFmtId="0" fontId="11" fillId="2" borderId="0" applyAlignment="1" pivotButton="0" quotePrefix="0" xfId="0">
      <alignment horizontal="left"/>
    </xf>
    <xf numFmtId="0" fontId="5" fillId="3" borderId="0" pivotButton="0" quotePrefix="0" xfId="0"/>
    <xf numFmtId="3" fontId="5" fillId="3" borderId="0" applyAlignment="1" pivotButton="0" quotePrefix="0" xfId="0">
      <alignment horizontal="right"/>
    </xf>
    <xf numFmtId="3" fontId="6" fillId="3" borderId="0" pivotButton="0" quotePrefix="0" xfId="0"/>
    <xf numFmtId="3" fontId="5" fillId="0" borderId="0" applyAlignment="1" pivotButton="0" quotePrefix="0" xfId="0">
      <alignment horizontal="right"/>
    </xf>
    <xf numFmtId="3" fontId="6" fillId="0" borderId="0" pivotButton="0" quotePrefix="0" xfId="0"/>
    <xf numFmtId="165" fontId="5" fillId="0" borderId="0" applyAlignment="1" pivotButton="0" quotePrefix="0" xfId="0">
      <alignment horizontal="right"/>
    </xf>
    <xf numFmtId="165" fontId="6" fillId="0" borderId="0" pivotButton="0" quotePrefix="0" xfId="0"/>
    <xf numFmtId="164" fontId="5" fillId="3" borderId="0" applyAlignment="1" pivotButton="0" quotePrefix="0" xfId="0">
      <alignment horizontal="right"/>
    </xf>
    <xf numFmtId="164" fontId="6" fillId="3" borderId="0" pivotButton="0" quotePrefix="0" xfId="0"/>
    <xf numFmtId="164" fontId="5" fillId="0" borderId="0" applyAlignment="1" pivotButton="0" quotePrefix="0" xfId="0">
      <alignment horizontal="right"/>
    </xf>
    <xf numFmtId="164" fontId="6" fillId="0" borderId="0" pivotButton="0" quotePrefix="0" xfId="0"/>
    <xf numFmtId="164" fontId="6" fillId="3" borderId="0" applyAlignment="1" pivotButton="0" quotePrefix="0" xfId="0">
      <alignment horizontal="right"/>
    </xf>
    <xf numFmtId="164" fontId="6" fillId="0" borderId="0" applyAlignment="1" pivotButton="0" quotePrefix="0" xfId="0">
      <alignment horizontal="right"/>
    </xf>
    <xf numFmtId="0" fontId="6" fillId="5" borderId="0" pivotButton="0" quotePrefix="0" xfId="0"/>
    <xf numFmtId="164" fontId="5" fillId="5" borderId="0" pivotButton="0" quotePrefix="0" xfId="0"/>
    <xf numFmtId="164" fontId="6" fillId="5" borderId="0" pivotButton="0" quotePrefix="0" xfId="0"/>
    <xf numFmtId="165" fontId="6" fillId="5" borderId="0" pivotButton="0" quotePrefix="0" xfId="0"/>
    <xf numFmtId="0" fontId="5" fillId="5" borderId="0" pivotButton="0" quotePrefix="0" xfId="0"/>
    <xf numFmtId="0" fontId="6" fillId="9" borderId="0" pivotButton="0" quotePrefix="0" xfId="0"/>
    <xf numFmtId="164" fontId="5" fillId="9" borderId="0" pivotButton="0" quotePrefix="0" xfId="0"/>
    <xf numFmtId="164" fontId="6" fillId="9" borderId="0" pivotButton="0" quotePrefix="0" xfId="0"/>
    <xf numFmtId="165" fontId="6" fillId="9" borderId="0" pivotButton="0" quotePrefix="0" xfId="0"/>
    <xf numFmtId="0" fontId="5" fillId="9" borderId="0" pivotButton="0" quotePrefix="0" xfId="0"/>
    <xf numFmtId="164" fontId="5" fillId="0" borderId="0" pivotButton="0" quotePrefix="0" xfId="0"/>
    <xf numFmtId="0" fontId="6" fillId="0" borderId="4" pivotButton="0" quotePrefix="0" xfId="0"/>
    <xf numFmtId="164" fontId="6" fillId="0" borderId="4" pivotButton="0" quotePrefix="0" xfId="0"/>
    <xf numFmtId="165" fontId="6" fillId="0" borderId="4" pivotButton="0" quotePrefix="0" xfId="0"/>
    <xf numFmtId="0" fontId="0" fillId="0" borderId="4" pivotButton="0" quotePrefix="0" xfId="0"/>
    <xf numFmtId="165" fontId="6" fillId="4" borderId="2" pivotButton="0" quotePrefix="0" xfId="0"/>
    <xf numFmtId="0" fontId="4" fillId="3" borderId="0" pivotButton="0" quotePrefix="0" xfId="0"/>
    <xf numFmtId="165" fontId="0" fillId="0" borderId="2" pivotButton="0" quotePrefix="0" xfId="0"/>
    <xf numFmtId="0" fontId="6" fillId="0" borderId="1" pivotButton="0" quotePrefix="0" xfId="0"/>
    <xf numFmtId="164" fontId="6" fillId="0" borderId="1" pivotButton="0" quotePrefix="0" xfId="0"/>
    <xf numFmtId="165" fontId="6" fillId="0" borderId="1" pivotButton="0" quotePrefix="0" xfId="0"/>
    <xf numFmtId="165" fontId="13" fillId="5" borderId="1" pivotButton="0" quotePrefix="0" xfId="0"/>
    <xf numFmtId="0" fontId="3" fillId="0" borderId="2" pivotButton="0" quotePrefix="0" xfId="0"/>
    <xf numFmtId="0" fontId="5" fillId="0" borderId="0" applyAlignment="1" pivotButton="0" quotePrefix="0" xfId="0">
      <alignment vertical="top" wrapText="1"/>
    </xf>
  </cellXfs>
  <cellStyles count="1">
    <cellStyle name="Normal" xfId="0" builtinId="0" hidden="0"/>
  </cellStyles>
  <dxfs count="4">
    <dxf>
      <fill>
        <patternFill patternType="solid">
          <fgColor rgb="00E8F5E9"/>
        </patternFill>
      </fill>
    </dxf>
    <dxf>
      <fill>
        <patternFill patternType="solid">
          <fgColor rgb="00FFEBEE"/>
        </patternFill>
      </fill>
    </dxf>
    <dxf>
      <font>
        <name val="Arial"/>
        <b val="1"/>
        <color rgb="002D8B2D"/>
      </font>
      <fill>
        <patternFill patternType="solid">
          <fgColor rgb="00E8F5E9"/>
        </patternFill>
      </fill>
    </dxf>
    <dxf>
      <font>
        <name val="Arial"/>
        <b val="1"/>
        <color rgb="00E53935"/>
      </font>
      <fill>
        <patternFill patternType="solid">
          <fgColor rgb="00FFEB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5A55A"/>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5" customWidth="1" min="3" max="3"/>
    <col width="30" customWidth="1" min="4" max="4"/>
    <col width="22" customWidth="1" min="5" max="5"/>
  </cols>
  <sheetData>
    <row r="1">
      <c r="A1" s="1" t="inlineStr">
        <is>
          <t>Casa Yano - Lender Package</t>
        </is>
      </c>
    </row>
    <row r="2">
      <c r="A2" s="2" t="inlineStr">
        <is>
          <t>210 W Yanonali St, Santa Barbara, CA 93101</t>
        </is>
      </c>
    </row>
    <row r="3">
      <c r="A3" s="3" t="inlineStr">
        <is>
          <t>Prepared 2026-05-08</t>
        </is>
      </c>
    </row>
    <row r="5">
      <c r="A5" s="4" t="inlineStr">
        <is>
          <t>PROPERTY DETAILS</t>
        </is>
      </c>
      <c r="B5" s="5" t="n"/>
    </row>
    <row r="6">
      <c r="A6" s="6" t="inlineStr">
        <is>
          <t>Property Type</t>
        </is>
      </c>
      <c r="B6" s="6" t="inlineStr">
        <is>
          <t>Short-Term Rental (STR)</t>
        </is>
      </c>
    </row>
    <row r="7">
      <c r="A7" s="6" t="inlineStr">
        <is>
          <t>Units</t>
        </is>
      </c>
      <c r="B7" s="6" t="inlineStr">
        <is>
          <t>6</t>
        </is>
      </c>
    </row>
    <row r="8">
      <c r="A8" s="6" t="inlineStr">
        <is>
          <t>Location</t>
        </is>
      </c>
      <c r="B8" s="6" t="inlineStr">
        <is>
          <t>Santa Barbara, CA</t>
        </is>
      </c>
    </row>
    <row r="9">
      <c r="A9" s="6" t="inlineStr">
        <is>
          <t>Opening Date</t>
        </is>
      </c>
      <c r="B9" s="6" t="inlineStr">
        <is>
          <t>December 18, 2025</t>
        </is>
      </c>
    </row>
    <row r="10">
      <c r="A10" s="6" t="inlineStr">
        <is>
          <t>Days Operating</t>
        </is>
      </c>
      <c r="B10" s="6" t="inlineStr">
        <is>
          <t>141</t>
        </is>
      </c>
    </row>
    <row r="11">
      <c r="A11" s="6" t="inlineStr">
        <is>
          <t>Management</t>
        </is>
      </c>
      <c r="B11" s="6" t="inlineStr">
        <is>
          <t>ZenStay Inc (third-party, 10% of gross)</t>
        </is>
      </c>
    </row>
    <row r="13">
      <c r="A13" s="4" t="inlineStr">
        <is>
          <t>FULL-YEAR PRO FORMA</t>
        </is>
      </c>
      <c r="B13" s="5" t="n"/>
      <c r="D13" s="4" t="inlineStr">
        <is>
          <t>FULL-YEAR PRO FORMA</t>
        </is>
      </c>
      <c r="E13" s="5" t="n"/>
    </row>
    <row r="14">
      <c r="A14" s="6" t="inlineStr">
        <is>
          <t>Period</t>
        </is>
      </c>
      <c r="B14" s="6" t="inlineStr">
        <is>
          <t>Jan 1 – Apr 14, 2026</t>
        </is>
      </c>
      <c r="D14" s="6" t="inlineStr">
        <is>
          <t>Projection Basis</t>
        </is>
      </c>
      <c r="E14" s="6" t="inlineStr">
        <is>
          <t>4 months actuals + seasonal model</t>
        </is>
      </c>
    </row>
    <row r="15">
      <c r="A15" s="6" t="inlineStr">
        <is>
          <t>Rental Income</t>
        </is>
      </c>
      <c r="B15" s="7" t="n">
        <v>170225.3</v>
      </c>
      <c r="D15" s="6" t="inlineStr">
        <is>
          <t>Gross Revenue</t>
        </is>
      </c>
      <c r="E15" s="7" t="n">
        <v>776028</v>
      </c>
    </row>
    <row r="16">
      <c r="A16" s="6" t="inlineStr">
        <is>
          <t>Total Operating Expenses</t>
        </is>
      </c>
      <c r="B16" s="7" t="n">
        <v>89337.99000000001</v>
      </c>
      <c r="D16" s="6" t="inlineStr">
        <is>
          <t>Net to Owner</t>
        </is>
      </c>
      <c r="E16" s="7" t="n">
        <v>686826</v>
      </c>
    </row>
    <row r="17">
      <c r="A17" s="8" t="inlineStr">
        <is>
          <t>Net Operating Income</t>
        </is>
      </c>
      <c r="B17" s="9" t="n">
        <v>80887.31</v>
      </c>
      <c r="D17" s="6" t="inlineStr">
        <is>
          <t>Total OpEx + Fixed</t>
        </is>
      </c>
      <c r="E17" s="7" t="n">
        <v>325256</v>
      </c>
    </row>
    <row r="18">
      <c r="D18" s="8" t="inlineStr">
        <is>
          <t>NOI (After Known Fixed)</t>
        </is>
      </c>
      <c r="E18" s="9" t="n">
        <v>361570</v>
      </c>
    </row>
    <row r="19">
      <c r="D19" s="6" t="inlineStr">
        <is>
          <t>Avg ADR (Blended)</t>
        </is>
      </c>
      <c r="E19" s="7" t="n">
        <v>428</v>
      </c>
    </row>
    <row r="20">
      <c r="D20" s="6" t="inlineStr">
        <is>
          <t>Avg Occupancy (Blended)</t>
        </is>
      </c>
      <c r="E20" s="10" t="n">
        <v>0.8190000000000001</v>
      </c>
    </row>
    <row r="22">
      <c r="A22" s="4" t="inlineStr">
        <is>
          <t>KEY HIGHLIGHTS</t>
        </is>
      </c>
      <c r="B22" s="5" t="n"/>
      <c r="C22" s="5" t="n"/>
      <c r="D22" s="5" t="n"/>
      <c r="E22" s="5" t="n"/>
    </row>
    <row r="23">
      <c r="A23" s="11" t="inlineStr">
        <is>
          <t>•  Total project basis: $4,197,591 (per QBO balance sheet)</t>
        </is>
      </c>
    </row>
    <row r="24">
      <c r="A24" s="11" t="inlineStr">
        <is>
          <t>•  Existing debt: $1,500,000 - seeking refinance</t>
        </is>
      </c>
    </row>
    <row r="25">
      <c r="A25" s="11" t="inlineStr">
        <is>
          <t>•  Occupancy trending from 75% (Jan) to 88% (Mar) - strong ramp trajectory</t>
        </is>
      </c>
    </row>
    <row r="26">
      <c r="A26" s="11" t="inlineStr">
        <is>
          <t>•  April booked at $73,746 gross - highest month to date</t>
        </is>
      </c>
    </row>
    <row r="27">
      <c r="A27" s="11" t="inlineStr">
        <is>
          <t>•  Owner margin of 88.3% - efficient operations with low OTA commission rates</t>
        </is>
      </c>
    </row>
    <row r="28">
      <c r="A28" s="11" t="inlineStr">
        <is>
          <t>•  QBO YTD NOI of $80,887 in first 3.5 months of operations</t>
        </is>
      </c>
    </row>
  </sheetData>
  <mergeCells count="9">
    <mergeCell ref="A26:E26"/>
    <mergeCell ref="A24:E24"/>
    <mergeCell ref="A2:E2"/>
    <mergeCell ref="A25:E25"/>
    <mergeCell ref="A28:E28"/>
    <mergeCell ref="A1:E1"/>
    <mergeCell ref="A23:E23"/>
    <mergeCell ref="A27:E27"/>
    <mergeCell ref="A3:E3"/>
  </mergeCells>
  <pageMargins left="0.75" right="0.75" top="1" bottom="1" header="0.5" footer="0.5"/>
</worksheet>
</file>

<file path=xl/worksheets/sheet2.xml><?xml version="1.0" encoding="utf-8"?>
<worksheet xmlns="http://schemas.openxmlformats.org/spreadsheetml/2006/main">
  <sheetPr>
    <tabColor rgb="00795548"/>
    <outlinePr summaryBelow="1" summaryRight="1"/>
    <pageSetUpPr/>
  </sheetPr>
  <dimension ref="A1:E55"/>
  <sheetViews>
    <sheetView workbookViewId="0">
      <pane ySplit="3" topLeftCell="A4" activePane="bottomLeft" state="frozen"/>
      <selection pane="bottomLeft" activeCell="A1" sqref="A1"/>
    </sheetView>
  </sheetViews>
  <sheetFormatPr baseColWidth="8" defaultRowHeight="15"/>
  <cols>
    <col width="32" customWidth="1" min="1" max="1"/>
    <col width="22" customWidth="1" min="2" max="2"/>
    <col width="5" customWidth="1" min="3" max="3"/>
    <col width="32" customWidth="1" min="4" max="4"/>
    <col width="22" customWidth="1" min="5" max="5"/>
  </cols>
  <sheetData>
    <row r="1">
      <c r="A1" s="1" t="inlineStr">
        <is>
          <t>Casa Yano - Project History &amp; Renovation</t>
        </is>
      </c>
    </row>
    <row r="2">
      <c r="A2" s="3" t="inlineStr">
        <is>
          <t>Source: QuickBooks Online balance sheet + project records</t>
        </is>
      </c>
    </row>
    <row r="4">
      <c r="A4" s="4" t="inlineStr">
        <is>
          <t>ACQUISITION</t>
        </is>
      </c>
      <c r="B4" s="5" t="n"/>
    </row>
    <row r="5">
      <c r="A5" s="6" t="inlineStr">
        <is>
          <t>Purchase Price</t>
        </is>
      </c>
      <c r="B5" s="7" t="n">
        <v>2475000</v>
      </c>
    </row>
    <row r="6">
      <c r="A6" s="6" t="inlineStr">
        <is>
          <t>Close Date</t>
        </is>
      </c>
      <c r="B6" s="6" t="inlineStr">
        <is>
          <t>March 2024</t>
        </is>
      </c>
    </row>
    <row r="8">
      <c r="A8" s="4" t="inlineStr">
        <is>
          <t>RENOVATION</t>
        </is>
      </c>
      <c r="B8" s="5" t="n"/>
    </row>
    <row r="9">
      <c r="A9" s="6" t="inlineStr">
        <is>
          <t>Total Construction Cost (QBO)</t>
        </is>
      </c>
      <c r="B9" s="7" t="n">
        <v>1565488</v>
      </c>
    </row>
    <row r="10">
      <c r="A10" s="6" t="inlineStr">
        <is>
          <t xml:space="preserve">  Hard Costs</t>
        </is>
      </c>
      <c r="B10" s="7" t="n">
        <v>1405644</v>
      </c>
    </row>
    <row r="11">
      <c r="A11" s="6" t="inlineStr">
        <is>
          <t xml:space="preserve">  Soft Costs</t>
        </is>
      </c>
      <c r="B11" s="7" t="n">
        <v>159844</v>
      </c>
    </row>
    <row r="12">
      <c r="A12" s="6" t="inlineStr">
        <is>
          <t>Renovation Start</t>
        </is>
      </c>
      <c r="B12" s="6" t="inlineStr">
        <is>
          <t>October 2024</t>
        </is>
      </c>
    </row>
    <row r="13">
      <c r="A13" s="6" t="inlineStr">
        <is>
          <t>Renovation Complete</t>
        </is>
      </c>
      <c r="B13" s="6" t="inlineStr">
        <is>
          <t>November 2025</t>
        </is>
      </c>
    </row>
    <row r="14">
      <c r="A14" s="6" t="inlineStr">
        <is>
          <t>Duration</t>
        </is>
      </c>
      <c r="B14" s="6" t="inlineStr">
        <is>
          <t>13 months</t>
        </is>
      </c>
    </row>
    <row r="15">
      <c r="A15" s="6" t="inlineStr">
        <is>
          <t>Scope</t>
        </is>
      </c>
      <c r="B15" s="6" t="inlineStr">
        <is>
          <t>Full gut renovation to studs</t>
        </is>
      </c>
    </row>
    <row r="17">
      <c r="A17" s="4" t="inlineStr">
        <is>
          <t>SCOPE OF WORK</t>
        </is>
      </c>
      <c r="B17" s="5" t="n"/>
      <c r="C17" s="5" t="n"/>
      <c r="D17" s="5" t="n"/>
      <c r="E17" s="5" t="n"/>
    </row>
    <row r="18">
      <c r="A18" s="8" t="inlineStr">
        <is>
          <t>Structural</t>
        </is>
      </c>
      <c r="B18" s="6" t="inlineStr">
        <is>
          <t>Rebuilt foundation including underpinning with pylons</t>
        </is>
      </c>
    </row>
    <row r="19">
      <c r="A19" s="8" t="inlineStr">
        <is>
          <t>Framing &amp; Envelope</t>
        </is>
      </c>
      <c r="B19" s="6" t="inlineStr">
        <is>
          <t>New framing, new windows, new roof, new stucco</t>
        </is>
      </c>
    </row>
    <row r="20">
      <c r="A20" s="8" t="inlineStr">
        <is>
          <t>Mechanical</t>
        </is>
      </c>
      <c r="B20" s="6" t="inlineStr">
        <is>
          <t>All new plumbing, all new electrical</t>
        </is>
      </c>
    </row>
    <row r="21">
      <c r="A21" s="8" t="inlineStr">
        <is>
          <t>HVAC</t>
        </is>
      </c>
      <c r="B21" s="6" t="inlineStr">
        <is>
          <t>New mini splits in each unit</t>
        </is>
      </c>
    </row>
    <row r="22">
      <c r="A22" s="8" t="inlineStr">
        <is>
          <t>Insulation &amp; Walls</t>
        </is>
      </c>
      <c r="B22" s="6" t="inlineStr">
        <is>
          <t>All new insulation, all new drywall</t>
        </is>
      </c>
    </row>
    <row r="23">
      <c r="A23" s="8" t="inlineStr">
        <is>
          <t>Interiors</t>
        </is>
      </c>
      <c r="B23" s="6" t="inlineStr">
        <is>
          <t>All new flooring, lighting, kitchens, bathrooms, and finishes</t>
        </is>
      </c>
    </row>
    <row r="24">
      <c r="A24" s="8" t="inlineStr">
        <is>
          <t>Exterior</t>
        </is>
      </c>
      <c r="B24" s="6" t="inlineStr">
        <is>
          <t>New hardscape and landscape throughout the property</t>
        </is>
      </c>
    </row>
    <row r="26">
      <c r="A26" s="4" t="inlineStr">
        <is>
          <t>TOTAL PROJECT COST (per QBO Balance Sheet)</t>
        </is>
      </c>
      <c r="B26" s="5" t="n"/>
    </row>
    <row r="27">
      <c r="A27" s="6" t="inlineStr">
        <is>
          <t>Land</t>
        </is>
      </c>
      <c r="B27" s="7" t="n">
        <v>596847</v>
      </c>
    </row>
    <row r="28">
      <c r="A28" s="6" t="inlineStr">
        <is>
          <t>Buildings</t>
        </is>
      </c>
      <c r="B28" s="7" t="n">
        <v>1890017</v>
      </c>
    </row>
    <row r="29">
      <c r="A29" s="6" t="inlineStr">
        <is>
          <t>Rehab Costs - Hard</t>
        </is>
      </c>
      <c r="B29" s="7" t="n">
        <v>1405644</v>
      </c>
    </row>
    <row r="30">
      <c r="A30" s="6" t="inlineStr">
        <is>
          <t>Rehab Costs - Soft</t>
        </is>
      </c>
      <c r="B30" s="7" t="n">
        <v>159844</v>
      </c>
    </row>
    <row r="31">
      <c r="A31" s="6" t="inlineStr">
        <is>
          <t>FF&amp;E / Furniture &amp; Fixtures</t>
        </is>
      </c>
      <c r="B31" s="7" t="n">
        <v>73761</v>
      </c>
    </row>
    <row r="32">
      <c r="A32" s="6" t="inlineStr">
        <is>
          <t>Other (Acq Fee, Fundraising, Cost Seg, etc.)</t>
        </is>
      </c>
      <c r="B32" s="7" t="n">
        <v>71478</v>
      </c>
    </row>
    <row r="33">
      <c r="A33" s="12" t="inlineStr">
        <is>
          <t>Total Fixed Assets</t>
        </is>
      </c>
      <c r="B33" s="13">
        <f>SUM(B27:B32)</f>
        <v/>
      </c>
    </row>
    <row r="35">
      <c r="A35" s="4" t="inlineStr">
        <is>
          <t>EXISTING DEBT</t>
        </is>
      </c>
      <c r="B35" s="5" t="n"/>
    </row>
    <row r="36">
      <c r="A36" s="6" t="inlineStr">
        <is>
          <t>CDRBC, LLC</t>
        </is>
      </c>
      <c r="B36" s="7" t="n">
        <v>1000000</v>
      </c>
    </row>
    <row r="37">
      <c r="A37" s="6" t="inlineStr">
        <is>
          <t>GFT IRA, LLC</t>
        </is>
      </c>
      <c r="B37" s="7" t="n">
        <v>500000</v>
      </c>
    </row>
    <row r="38">
      <c r="A38" s="8" t="inlineStr">
        <is>
          <t>Total Existing Debt</t>
        </is>
      </c>
      <c r="B38" s="9" t="n">
        <v>1500000</v>
      </c>
    </row>
    <row r="40">
      <c r="A40" s="4" t="inlineStr">
        <is>
          <t>VALUE CREATION</t>
        </is>
      </c>
      <c r="B40" s="5" t="n"/>
    </row>
    <row r="41">
      <c r="A41" s="6" t="inlineStr">
        <is>
          <t>Projected NOI (2026)</t>
        </is>
      </c>
      <c r="B41" s="7" t="n">
        <v>361570</v>
      </c>
    </row>
    <row r="42">
      <c r="A42" s="6" t="inlineStr">
        <is>
          <t>Cap Rate Applied</t>
        </is>
      </c>
      <c r="B42" s="10" t="n">
        <v>0.06</v>
      </c>
    </row>
    <row r="43">
      <c r="A43" s="8" t="inlineStr">
        <is>
          <t>Implied Value</t>
        </is>
      </c>
      <c r="B43" s="9">
        <f>B41/B42</f>
        <v/>
      </c>
    </row>
    <row r="44">
      <c r="A44" s="6" t="inlineStr">
        <is>
          <t>Total Basis (per QBO)</t>
        </is>
      </c>
      <c r="B44" s="14">
        <f>B33</f>
        <v/>
      </c>
    </row>
    <row r="45">
      <c r="A45" s="15" t="inlineStr">
        <is>
          <t>Value Created</t>
        </is>
      </c>
      <c r="B45" s="16">
        <f>B43-B44</f>
        <v/>
      </c>
    </row>
    <row r="46">
      <c r="A46" s="8" t="inlineStr">
        <is>
          <t>Return on Cost</t>
        </is>
      </c>
      <c r="B46" s="17">
        <f>B41/B44</f>
        <v/>
      </c>
    </row>
    <row r="48">
      <c r="A48" s="4" t="inlineStr">
        <is>
          <t>TIMELINE</t>
        </is>
      </c>
      <c r="B48" s="5" t="n"/>
      <c r="C48" s="5" t="n"/>
      <c r="D48" s="5" t="n"/>
      <c r="E48" s="5" t="n"/>
    </row>
    <row r="49">
      <c r="A49" s="8" t="inlineStr">
        <is>
          <t>Mar 2024</t>
        </is>
      </c>
      <c r="B49" s="6" t="inlineStr">
        <is>
          <t>Property acquired</t>
        </is>
      </c>
    </row>
    <row r="50">
      <c r="A50" s="8" t="inlineStr">
        <is>
          <t>Mar – Sep 2024</t>
        </is>
      </c>
      <c r="B50" s="6" t="inlineStr">
        <is>
          <t>Planning, permitting, design</t>
        </is>
      </c>
    </row>
    <row r="51">
      <c r="A51" s="8" t="inlineStr">
        <is>
          <t>Oct 2024</t>
        </is>
      </c>
      <c r="B51" s="6" t="inlineStr">
        <is>
          <t>Construction begins - full gut renovation</t>
        </is>
      </c>
    </row>
    <row r="52">
      <c r="A52" s="8" t="inlineStr">
        <is>
          <t>Nov 2025</t>
        </is>
      </c>
      <c r="B52" s="6" t="inlineStr">
        <is>
          <t>Construction complete - certificate of occupancy</t>
        </is>
      </c>
    </row>
    <row r="53">
      <c r="A53" s="8" t="inlineStr">
        <is>
          <t>Dec 18, 2025</t>
        </is>
      </c>
      <c r="B53" s="6" t="inlineStr">
        <is>
          <t>First guest booking - STR operations commence</t>
        </is>
      </c>
    </row>
    <row r="54">
      <c r="A54" s="8" t="inlineStr">
        <is>
          <t>Jan – Mar 2026</t>
        </is>
      </c>
      <c r="B54" s="6" t="inlineStr">
        <is>
          <t>First full quarter of operations - strong ramp</t>
        </is>
      </c>
    </row>
    <row r="55">
      <c r="A55" s="8" t="inlineStr">
        <is>
          <t>Apr 2026</t>
        </is>
      </c>
      <c r="B55" s="6" t="inlineStr">
        <is>
          <t>Highest-grossing month to date</t>
        </is>
      </c>
    </row>
  </sheetData>
  <mergeCells count="16">
    <mergeCell ref="B23:E23"/>
    <mergeCell ref="B18:E18"/>
    <mergeCell ref="B49:E49"/>
    <mergeCell ref="B50:E50"/>
    <mergeCell ref="A2:E2"/>
    <mergeCell ref="B53:E53"/>
    <mergeCell ref="B52:E52"/>
    <mergeCell ref="B21:E21"/>
    <mergeCell ref="B54:E54"/>
    <mergeCell ref="A1:E1"/>
    <mergeCell ref="B55:E55"/>
    <mergeCell ref="B24:E24"/>
    <mergeCell ref="B19:E19"/>
    <mergeCell ref="B20:E20"/>
    <mergeCell ref="B51:E51"/>
    <mergeCell ref="B22:E22"/>
  </mergeCells>
  <pageMargins left="0.75" right="0.75" top="1" bottom="1" header="0.5" footer="0.5"/>
</worksheet>
</file>

<file path=xl/worksheets/sheet3.xml><?xml version="1.0" encoding="utf-8"?>
<worksheet xmlns="http://schemas.openxmlformats.org/spreadsheetml/2006/main">
  <sheetPr>
    <tabColor rgb="002D8B2D"/>
    <outlinePr summaryBelow="1" summaryRight="1"/>
    <pageSetUpPr/>
  </sheetPr>
  <dimension ref="A1:G2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8" t="inlineStr">
        <is>
          <t>Casa Yano - Profit &amp; Loss by Month (2026)</t>
        </is>
      </c>
    </row>
    <row r="2">
      <c r="A2" s="2" t="inlineStr">
        <is>
          <t>Operating data: January – May 2026  |  QBO YTD cross-referenced</t>
        </is>
      </c>
    </row>
    <row r="3">
      <c r="A3" s="3" t="inlineStr">
        <is>
          <t>Source: PMS booking data + expense reports, reconciled to QuickBooks Online</t>
        </is>
      </c>
    </row>
    <row r="5">
      <c r="A5" s="19" t="inlineStr"/>
      <c r="B5" s="20" t="inlineStr">
        <is>
          <t>Jan</t>
        </is>
      </c>
      <c r="C5" s="20" t="inlineStr">
        <is>
          <t>Feb</t>
        </is>
      </c>
      <c r="D5" s="20" t="inlineStr">
        <is>
          <t>Mar</t>
        </is>
      </c>
      <c r="E5" s="20" t="inlineStr">
        <is>
          <t>Apr</t>
        </is>
      </c>
      <c r="F5" s="20" t="inlineStr">
        <is>
          <t>May</t>
        </is>
      </c>
      <c r="G5" s="20" t="inlineStr">
        <is>
          <t>YTD Total</t>
        </is>
      </c>
    </row>
    <row r="6">
      <c r="A6" s="21" t="inlineStr">
        <is>
          <t>INCOME</t>
        </is>
      </c>
      <c r="B6" s="22" t="n"/>
      <c r="C6" s="22" t="n"/>
      <c r="D6" s="22" t="n"/>
      <c r="E6" s="22" t="n"/>
      <c r="F6" s="22" t="n"/>
      <c r="G6" s="22" t="n"/>
    </row>
    <row r="7">
      <c r="A7" s="8" t="inlineStr">
        <is>
          <t>Gross Booking Revenue</t>
        </is>
      </c>
      <c r="B7" s="9" t="n">
        <v>40041</v>
      </c>
      <c r="C7" s="9" t="n">
        <v>54065</v>
      </c>
      <c r="D7" s="9" t="n">
        <v>68024</v>
      </c>
      <c r="E7" s="9" t="n">
        <v>73746</v>
      </c>
      <c r="F7" s="9" t="n">
        <v>65363</v>
      </c>
      <c r="G7" s="9">
        <f>SUM(B7:F7)</f>
        <v/>
      </c>
    </row>
    <row r="8">
      <c r="A8" s="23" t="inlineStr">
        <is>
          <t>Net to Owner (after OTA &amp; Processing)</t>
        </is>
      </c>
      <c r="B8" s="24" t="n">
        <v>35785</v>
      </c>
      <c r="C8" s="24" t="n">
        <v>48880</v>
      </c>
      <c r="D8" s="24" t="n">
        <v>61256</v>
      </c>
      <c r="E8" s="24" t="n">
        <v>64778</v>
      </c>
      <c r="F8" s="24" t="n">
        <v>56993</v>
      </c>
      <c r="G8" s="24">
        <f>SUM(B8:F8)</f>
        <v/>
      </c>
    </row>
    <row r="10">
      <c r="A10" s="21" t="inlineStr">
        <is>
          <t>OPERATING EXPENSES</t>
        </is>
      </c>
      <c r="B10" s="22" t="n"/>
      <c r="C10" s="22" t="n"/>
      <c r="D10" s="22" t="n"/>
      <c r="E10" s="22" t="n"/>
      <c r="F10" s="22" t="n"/>
      <c r="G10" s="22" t="n"/>
    </row>
    <row r="11">
      <c r="A11" s="6" t="inlineStr">
        <is>
          <t xml:space="preserve">  Cleaning</t>
        </is>
      </c>
      <c r="B11" s="7" t="n">
        <v>8483</v>
      </c>
      <c r="C11" s="7" t="n">
        <v>5790</v>
      </c>
      <c r="D11" s="7" t="n">
        <v>7028</v>
      </c>
      <c r="E11" s="7" t="n">
        <v>7020</v>
      </c>
      <c r="F11" s="7" t="n">
        <v>0</v>
      </c>
      <c r="G11" s="7">
        <f>SUM(B11:F11)</f>
        <v/>
      </c>
    </row>
    <row r="12">
      <c r="A12" s="6" t="inlineStr">
        <is>
          <t xml:space="preserve">  Supplies</t>
        </is>
      </c>
      <c r="B12" s="7" t="n">
        <v>6140</v>
      </c>
      <c r="C12" s="7" t="n">
        <v>912</v>
      </c>
      <c r="D12" s="7" t="n">
        <v>2213</v>
      </c>
      <c r="E12" s="7" t="n">
        <v>607</v>
      </c>
      <c r="F12" s="7" t="n">
        <v>0</v>
      </c>
      <c r="G12" s="7">
        <f>SUM(B12:F12)</f>
        <v/>
      </c>
    </row>
    <row r="13">
      <c r="A13" s="6" t="inlineStr">
        <is>
          <t xml:space="preserve">  Repairs &amp; Maintenance</t>
        </is>
      </c>
      <c r="B13" s="7" t="n">
        <v>572</v>
      </c>
      <c r="C13" s="7" t="n">
        <v>285</v>
      </c>
      <c r="D13" s="7" t="n">
        <v>1240</v>
      </c>
      <c r="E13" s="7" t="n">
        <v>450</v>
      </c>
      <c r="F13" s="7" t="n">
        <v>0</v>
      </c>
      <c r="G13" s="7">
        <f>SUM(B13:F13)</f>
        <v/>
      </c>
    </row>
    <row r="14">
      <c r="A14" s="6" t="inlineStr">
        <is>
          <t xml:space="preserve">  Management Fee</t>
        </is>
      </c>
      <c r="B14" s="7" t="n">
        <v>4229</v>
      </c>
      <c r="C14" s="7" t="n">
        <v>4522</v>
      </c>
      <c r="D14" s="7" t="n">
        <v>5542</v>
      </c>
      <c r="E14" s="7" t="n">
        <v>7662</v>
      </c>
      <c r="F14" s="7" t="n">
        <v>58</v>
      </c>
      <c r="G14" s="7">
        <f>SUM(B14:F14)</f>
        <v/>
      </c>
    </row>
    <row r="15">
      <c r="A15" s="6" t="inlineStr">
        <is>
          <t xml:space="preserve">  Marketing &amp; Advertising</t>
        </is>
      </c>
      <c r="B15" s="7" t="n">
        <v>2410</v>
      </c>
      <c r="C15" s="7" t="n">
        <v>0</v>
      </c>
      <c r="D15" s="7" t="n">
        <v>325</v>
      </c>
      <c r="E15" s="7" t="n">
        <v>25</v>
      </c>
      <c r="F15" s="7" t="n">
        <v>0</v>
      </c>
      <c r="G15" s="7">
        <f>SUM(B15:F15)</f>
        <v/>
      </c>
    </row>
    <row r="16">
      <c r="A16" s="6" t="inlineStr">
        <is>
          <t xml:space="preserve">  Taxes &amp; Licenses</t>
        </is>
      </c>
      <c r="B16" s="7" t="n">
        <v>1853</v>
      </c>
      <c r="C16" s="7" t="n">
        <v>5535</v>
      </c>
      <c r="D16" s="7" t="n">
        <v>5953</v>
      </c>
      <c r="E16" s="7" t="n">
        <v>8410</v>
      </c>
      <c r="F16" s="7" t="n">
        <v>0</v>
      </c>
      <c r="G16" s="7">
        <f>SUM(B16:F16)</f>
        <v/>
      </c>
    </row>
    <row r="17">
      <c r="A17" s="6" t="inlineStr">
        <is>
          <t xml:space="preserve">  Other</t>
        </is>
      </c>
      <c r="B17" s="7" t="n">
        <v>252</v>
      </c>
      <c r="C17" s="7" t="n">
        <v>908</v>
      </c>
      <c r="D17" s="7" t="n">
        <v>285</v>
      </c>
      <c r="E17" s="7" t="n">
        <v>617</v>
      </c>
      <c r="F17" s="7" t="n">
        <v>0</v>
      </c>
      <c r="G17" s="7">
        <f>SUM(B17:F17)</f>
        <v/>
      </c>
    </row>
    <row r="18">
      <c r="A18" s="25" t="inlineStr">
        <is>
          <t>Total Operating Expenses</t>
        </is>
      </c>
      <c r="B18" s="26">
        <f>SUM(B11:B17)</f>
        <v/>
      </c>
      <c r="C18" s="26">
        <f>SUM(C11:C17)</f>
        <v/>
      </c>
      <c r="D18" s="26">
        <f>SUM(D11:D17)</f>
        <v/>
      </c>
      <c r="E18" s="26">
        <f>SUM(E11:E17)</f>
        <v/>
      </c>
      <c r="F18" s="26">
        <f>SUM(F11:F17)</f>
        <v/>
      </c>
      <c r="G18" s="26">
        <f>SUM(B18:F18)</f>
        <v/>
      </c>
    </row>
    <row r="20">
      <c r="A20" s="27" t="inlineStr">
        <is>
          <t>Net Operating Income</t>
        </is>
      </c>
      <c r="B20" s="28">
        <f>B8-B18</f>
        <v/>
      </c>
      <c r="C20" s="28">
        <f>C8-C18</f>
        <v/>
      </c>
      <c r="D20" s="28">
        <f>D8-D18</f>
        <v/>
      </c>
      <c r="E20" s="28">
        <f>E8-E18</f>
        <v/>
      </c>
      <c r="F20" s="28">
        <f>F8-F18</f>
        <v/>
      </c>
      <c r="G20" s="28">
        <f>SUM(B20:F20)</f>
        <v/>
      </c>
    </row>
    <row r="22">
      <c r="A22" s="29" t="inlineStr">
        <is>
          <t>Reconciliation check:</t>
        </is>
      </c>
      <c r="B22" s="30">
        <f>IF(ROUND(B8-B18-B20,0)=0,"OK","ERR")</f>
        <v/>
      </c>
      <c r="C22" s="30">
        <f>IF(ROUND(C8-C18-C20,0)=0,"OK","ERR")</f>
        <v/>
      </c>
      <c r="D22" s="30">
        <f>IF(ROUND(D8-D18-D20,0)=0,"OK","ERR")</f>
        <v/>
      </c>
      <c r="E22" s="30">
        <f>IF(ROUND(E8-E18-E20,0)=0,"OK","ERR")</f>
        <v/>
      </c>
      <c r="F22" s="30">
        <f>IF(ROUND(F8-F18-F20,0)=0,"OK","ERR")</f>
        <v/>
      </c>
      <c r="G22" s="30">
        <f>IF(ROUND(G8-G18-G20,0)=0,"OK","ERR")</f>
        <v/>
      </c>
    </row>
    <row r="24">
      <c r="A24" s="4" t="inlineStr">
        <is>
          <t>QBO RECONCILIATION</t>
        </is>
      </c>
      <c r="B24" s="5" t="n"/>
      <c r="C24" s="5" t="n"/>
      <c r="D24" s="5" t="n"/>
      <c r="E24" s="5" t="n"/>
      <c r="F24" s="5" t="n"/>
      <c r="G24" s="5" t="n"/>
    </row>
    <row r="25">
      <c r="A25" s="3" t="inlineStr">
        <is>
          <t>QBO YTD Rental Income (Jan 1 – Apr 14): $170,225</t>
        </is>
      </c>
    </row>
    <row r="26">
      <c r="A26" s="3" t="inlineStr">
        <is>
          <t>QBO YTD Total Expenses: $89,338  |  QBO YTD NOI: $80,887</t>
        </is>
      </c>
    </row>
    <row r="27">
      <c r="A27" s="3" t="inlineStr">
        <is>
          <t>Note: Minor variances between PMS and QBO are expected due to cash vs accrual timing and partial-month cutoffs.</t>
        </is>
      </c>
    </row>
  </sheetData>
  <mergeCells count="6">
    <mergeCell ref="A1:G1"/>
    <mergeCell ref="A27:G27"/>
    <mergeCell ref="A3:G3"/>
    <mergeCell ref="A26:G26"/>
    <mergeCell ref="A2:G2"/>
    <mergeCell ref="A25:G25"/>
  </mergeCells>
  <conditionalFormatting sqref="B22">
    <cfRule type="expression" priority="1" dxfId="0">
      <formula>B22="OK"</formula>
    </cfRule>
    <cfRule type="expression" priority="2" dxfId="1">
      <formula>B22="ERR"</formula>
    </cfRule>
  </conditionalFormatting>
  <conditionalFormatting sqref="C22">
    <cfRule type="expression" priority="3" dxfId="0">
      <formula>C22="OK"</formula>
    </cfRule>
    <cfRule type="expression" priority="4" dxfId="1">
      <formula>C22="ERR"</formula>
    </cfRule>
  </conditionalFormatting>
  <conditionalFormatting sqref="D22">
    <cfRule type="expression" priority="5" dxfId="0">
      <formula>D22="OK"</formula>
    </cfRule>
    <cfRule type="expression" priority="6" dxfId="1">
      <formula>D22="ERR"</formula>
    </cfRule>
  </conditionalFormatting>
  <conditionalFormatting sqref="E22">
    <cfRule type="expression" priority="7" dxfId="0">
      <formula>E22="OK"</formula>
    </cfRule>
    <cfRule type="expression" priority="8" dxfId="1">
      <formula>E22="ERR"</formula>
    </cfRule>
  </conditionalFormatting>
  <conditionalFormatting sqref="F22">
    <cfRule type="expression" priority="9" dxfId="0">
      <formula>F22="OK"</formula>
    </cfRule>
    <cfRule type="expression" priority="10" dxfId="1">
      <formula>F22="ERR"</formula>
    </cfRule>
  </conditionalFormatting>
  <conditionalFormatting sqref="G22">
    <cfRule type="expression" priority="11" dxfId="0">
      <formula>G22="OK"</formula>
    </cfRule>
    <cfRule type="expression" priority="12" dxfId="1">
      <formula>G22="ERR"</formula>
    </cfRule>
  </conditionalFormatting>
  <pageMargins left="0.75" right="0.75" top="1" bottom="1" header="0.5" footer="0.5"/>
</worksheet>
</file>

<file path=xl/worksheets/sheet4.xml><?xml version="1.0" encoding="utf-8"?>
<worksheet xmlns="http://schemas.openxmlformats.org/spreadsheetml/2006/main">
  <sheetPr>
    <tabColor rgb="00C5A55A"/>
    <outlinePr summaryBelow="1" summaryRight="1"/>
    <pageSetUpPr/>
  </sheetPr>
  <dimension ref="A1:N1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s>
  <sheetData>
    <row r="1">
      <c r="A1" s="18" t="inlineStr">
        <is>
          <t>Casa Yano - Monthly Operating Detail (2026)</t>
        </is>
      </c>
    </row>
    <row r="2">
      <c r="A2" s="3" t="inlineStr">
        <is>
          <t>Source: Property Management System booking data</t>
        </is>
      </c>
    </row>
    <row r="4">
      <c r="A4" s="31" t="inlineStr">
        <is>
          <t>Status</t>
        </is>
      </c>
      <c r="B4" s="32" t="inlineStr">
        <is>
          <t>ACTUAL</t>
        </is>
      </c>
      <c r="C4" s="32" t="inlineStr">
        <is>
          <t>ACTUAL</t>
        </is>
      </c>
      <c r="D4" s="32" t="inlineStr">
        <is>
          <t>ACTUAL</t>
        </is>
      </c>
      <c r="E4" s="32" t="inlineStr">
        <is>
          <t>ACTUAL</t>
        </is>
      </c>
      <c r="F4" s="33" t="inlineStr">
        <is>
          <t>BOOKED</t>
        </is>
      </c>
      <c r="G4" s="34" t="inlineStr">
        <is>
          <t>PROJECTED</t>
        </is>
      </c>
      <c r="H4" s="34" t="inlineStr">
        <is>
          <t>PROJECTED</t>
        </is>
      </c>
      <c r="I4" s="34" t="inlineStr">
        <is>
          <t>PROJECTED</t>
        </is>
      </c>
      <c r="J4" s="34" t="inlineStr">
        <is>
          <t>PROJECTED</t>
        </is>
      </c>
      <c r="K4" s="34" t="inlineStr">
        <is>
          <t>PROJECTED</t>
        </is>
      </c>
      <c r="L4" s="34" t="inlineStr">
        <is>
          <t>PROJECTED</t>
        </is>
      </c>
      <c r="M4" s="34" t="inlineStr">
        <is>
          <t>PROJECTED</t>
        </is>
      </c>
    </row>
    <row r="5">
      <c r="A5" s="35" t="inlineStr"/>
      <c r="B5" s="19" t="inlineStr">
        <is>
          <t>Jan</t>
        </is>
      </c>
      <c r="C5" s="19" t="inlineStr">
        <is>
          <t>Feb</t>
        </is>
      </c>
      <c r="D5" s="19" t="inlineStr">
        <is>
          <t>Mar</t>
        </is>
      </c>
      <c r="E5" s="19" t="inlineStr">
        <is>
          <t>Apr</t>
        </is>
      </c>
      <c r="F5" s="19" t="inlineStr">
        <is>
          <t>May</t>
        </is>
      </c>
      <c r="G5" s="19" t="inlineStr">
        <is>
          <t>Jun</t>
        </is>
      </c>
      <c r="H5" s="19" t="inlineStr">
        <is>
          <t>Jul</t>
        </is>
      </c>
      <c r="I5" s="19" t="inlineStr">
        <is>
          <t>Aug</t>
        </is>
      </c>
      <c r="J5" s="19" t="inlineStr">
        <is>
          <t>Sep</t>
        </is>
      </c>
      <c r="K5" s="19" t="inlineStr">
        <is>
          <t>Oct</t>
        </is>
      </c>
      <c r="L5" s="19" t="inlineStr">
        <is>
          <t>Nov</t>
        </is>
      </c>
      <c r="M5" s="19" t="inlineStr">
        <is>
          <t>Dec</t>
        </is>
      </c>
      <c r="N5" s="19" t="inlineStr">
        <is>
          <t>Full Year</t>
        </is>
      </c>
    </row>
    <row r="6">
      <c r="A6" s="36" t="inlineStr">
        <is>
          <t>Bookings</t>
        </is>
      </c>
      <c r="B6" s="37" t="n">
        <v>56</v>
      </c>
      <c r="C6" s="37" t="n">
        <v>55</v>
      </c>
      <c r="D6" s="37" t="n">
        <v>60</v>
      </c>
      <c r="E6" s="37" t="n">
        <v>69</v>
      </c>
      <c r="F6" s="37" t="n">
        <v>59</v>
      </c>
      <c r="G6" s="37" t="n">
        <v>64</v>
      </c>
      <c r="H6" s="37" t="n">
        <v>66</v>
      </c>
      <c r="I6" s="37" t="n">
        <v>66</v>
      </c>
      <c r="J6" s="37" t="n">
        <v>53</v>
      </c>
      <c r="K6" s="37" t="n">
        <v>52</v>
      </c>
      <c r="L6" s="37" t="n">
        <v>52</v>
      </c>
      <c r="M6" s="37" t="n">
        <v>57</v>
      </c>
      <c r="N6" s="38">
        <f>SUM(B6:M6)</f>
        <v/>
      </c>
    </row>
    <row r="7">
      <c r="A7" s="11" t="inlineStr">
        <is>
          <t>Nights Sold</t>
        </is>
      </c>
      <c r="B7" s="39" t="n">
        <v>140</v>
      </c>
      <c r="C7" s="39" t="n">
        <v>136</v>
      </c>
      <c r="D7" s="39" t="n">
        <v>164</v>
      </c>
      <c r="E7" s="39" t="n">
        <v>151</v>
      </c>
      <c r="F7" s="39" t="n">
        <v>141</v>
      </c>
      <c r="G7" s="39" t="n">
        <v>165</v>
      </c>
      <c r="H7" s="39" t="n">
        <v>171</v>
      </c>
      <c r="I7" s="39" t="n">
        <v>170</v>
      </c>
      <c r="J7" s="39" t="n">
        <v>138</v>
      </c>
      <c r="K7" s="39" t="n">
        <v>135</v>
      </c>
      <c r="L7" s="39" t="n">
        <v>135</v>
      </c>
      <c r="M7" s="39" t="n">
        <v>148</v>
      </c>
      <c r="N7" s="40">
        <f>SUM(B7:M7)</f>
        <v/>
      </c>
    </row>
    <row r="8">
      <c r="A8" s="36" t="inlineStr">
        <is>
          <t>Available Nights</t>
        </is>
      </c>
      <c r="B8" s="37" t="n">
        <v>186</v>
      </c>
      <c r="C8" s="37" t="n">
        <v>168</v>
      </c>
      <c r="D8" s="37" t="n">
        <v>186</v>
      </c>
      <c r="E8" s="37" t="n">
        <v>180</v>
      </c>
      <c r="F8" s="37" t="n">
        <v>186</v>
      </c>
      <c r="G8" s="37" t="n">
        <v>180</v>
      </c>
      <c r="H8" s="37" t="n">
        <v>186</v>
      </c>
      <c r="I8" s="37" t="n">
        <v>186</v>
      </c>
      <c r="J8" s="37" t="n">
        <v>180</v>
      </c>
      <c r="K8" s="37" t="n">
        <v>186</v>
      </c>
      <c r="L8" s="37" t="n">
        <v>180</v>
      </c>
      <c r="M8" s="37" t="n">
        <v>186</v>
      </c>
      <c r="N8" s="38">
        <f>SUM(B8:M8)</f>
        <v/>
      </c>
    </row>
    <row r="9">
      <c r="A9" s="11" t="inlineStr">
        <is>
          <t>Occupancy</t>
        </is>
      </c>
      <c r="B9" s="41" t="n">
        <v>0.753</v>
      </c>
      <c r="C9" s="41" t="n">
        <v>0.8100000000000001</v>
      </c>
      <c r="D9" s="41" t="n">
        <v>0.882</v>
      </c>
      <c r="E9" s="41" t="n">
        <v>0.8390000000000001</v>
      </c>
      <c r="F9" s="41" t="n">
        <v>0.758</v>
      </c>
      <c r="G9" s="41" t="n">
        <v>0.914</v>
      </c>
      <c r="H9" s="41" t="n">
        <v>0.92</v>
      </c>
      <c r="I9" s="41" t="n">
        <v>0.914</v>
      </c>
      <c r="J9" s="41" t="n">
        <v>0.769</v>
      </c>
      <c r="K9" s="41" t="n">
        <v>0.726</v>
      </c>
      <c r="L9" s="41" t="n">
        <v>0.752</v>
      </c>
      <c r="M9" s="41" t="n">
        <v>0.795</v>
      </c>
      <c r="N9" s="42">
        <f>AVERAGE(B9:M9)</f>
        <v/>
      </c>
    </row>
    <row r="10">
      <c r="A10" s="36" t="inlineStr">
        <is>
          <t>ADR</t>
        </is>
      </c>
      <c r="B10" s="43" t="n">
        <v>286</v>
      </c>
      <c r="C10" s="43" t="n">
        <v>398</v>
      </c>
      <c r="D10" s="43" t="n">
        <v>415</v>
      </c>
      <c r="E10" s="43" t="n">
        <v>488</v>
      </c>
      <c r="F10" s="43" t="n">
        <v>464</v>
      </c>
      <c r="G10" s="43" t="n">
        <v>504</v>
      </c>
      <c r="H10" s="43" t="n">
        <v>525</v>
      </c>
      <c r="I10" s="43" t="n">
        <v>504</v>
      </c>
      <c r="J10" s="43" t="n">
        <v>399</v>
      </c>
      <c r="K10" s="43" t="n">
        <v>378</v>
      </c>
      <c r="L10" s="43" t="n">
        <v>378</v>
      </c>
      <c r="M10" s="43" t="n">
        <v>399</v>
      </c>
      <c r="N10" s="44">
        <f>SUM(B10:M10)</f>
        <v/>
      </c>
    </row>
    <row r="11">
      <c r="A11" s="11" t="inlineStr">
        <is>
          <t>RevPAR</t>
        </is>
      </c>
      <c r="B11" s="45" t="n">
        <v>215</v>
      </c>
      <c r="C11" s="45" t="n">
        <v>322</v>
      </c>
      <c r="D11" s="45" t="n">
        <v>366</v>
      </c>
      <c r="E11" s="45" t="n">
        <v>410</v>
      </c>
      <c r="F11" s="45" t="n">
        <v>351</v>
      </c>
      <c r="G11" s="45" t="n">
        <v>462</v>
      </c>
      <c r="H11" s="45" t="n">
        <v>483</v>
      </c>
      <c r="I11" s="45" t="n">
        <v>461</v>
      </c>
      <c r="J11" s="45" t="n">
        <v>306</v>
      </c>
      <c r="K11" s="45" t="n">
        <v>274</v>
      </c>
      <c r="L11" s="45" t="n">
        <v>284</v>
      </c>
      <c r="M11" s="45" t="n">
        <v>317</v>
      </c>
      <c r="N11" s="46">
        <f>SUM(B11:M11)</f>
        <v/>
      </c>
    </row>
    <row r="12">
      <c r="A12" s="21" t="inlineStr">
        <is>
          <t>Gross Revenue</t>
        </is>
      </c>
      <c r="B12" s="47" t="n">
        <v>40041</v>
      </c>
      <c r="C12" s="47" t="n">
        <v>54065</v>
      </c>
      <c r="D12" s="47" t="n">
        <v>68024</v>
      </c>
      <c r="E12" s="47" t="n">
        <v>73746</v>
      </c>
      <c r="F12" s="47" t="n">
        <v>65363</v>
      </c>
      <c r="G12" s="47" t="n">
        <v>83160</v>
      </c>
      <c r="H12" s="47" t="n">
        <v>89775</v>
      </c>
      <c r="I12" s="47" t="n">
        <v>85680</v>
      </c>
      <c r="J12" s="47" t="n">
        <v>55062</v>
      </c>
      <c r="K12" s="47" t="n">
        <v>51030</v>
      </c>
      <c r="L12" s="47" t="n">
        <v>51030</v>
      </c>
      <c r="M12" s="47" t="n">
        <v>59052</v>
      </c>
      <c r="N12" s="44">
        <f>SUM(B12:M12)</f>
        <v/>
      </c>
    </row>
    <row r="13">
      <c r="A13" s="31" t="inlineStr">
        <is>
          <t>Net to Owner</t>
        </is>
      </c>
      <c r="B13" s="48" t="n">
        <v>35785</v>
      </c>
      <c r="C13" s="48" t="n">
        <v>48880</v>
      </c>
      <c r="D13" s="48" t="n">
        <v>61256</v>
      </c>
      <c r="E13" s="48" t="n">
        <v>64778</v>
      </c>
      <c r="F13" s="48" t="n">
        <v>56993</v>
      </c>
      <c r="G13" s="48" t="n">
        <v>73412</v>
      </c>
      <c r="H13" s="48" t="n">
        <v>79251</v>
      </c>
      <c r="I13" s="48" t="n">
        <v>75637</v>
      </c>
      <c r="J13" s="48" t="n">
        <v>48608</v>
      </c>
      <c r="K13" s="48" t="n">
        <v>45048</v>
      </c>
      <c r="L13" s="48" t="n">
        <v>45048</v>
      </c>
      <c r="M13" s="48" t="n">
        <v>52130</v>
      </c>
      <c r="N13" s="46">
        <f>SUM(B13:M13)</f>
        <v/>
      </c>
    </row>
  </sheetData>
  <mergeCells count="2">
    <mergeCell ref="A2:M2"/>
    <mergeCell ref="A1:M1"/>
  </mergeCells>
  <pageMargins left="0.75" right="0.75" top="1" bottom="1" header="0.5" footer="0.5"/>
</worksheet>
</file>

<file path=xl/worksheets/sheet5.xml><?xml version="1.0" encoding="utf-8"?>
<worksheet xmlns="http://schemas.openxmlformats.org/spreadsheetml/2006/main">
  <sheetPr>
    <tabColor rgb="002196F3"/>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c r="A1" s="18" t="inlineStr">
        <is>
          <t>Casa Yano - Forward Bookings on the Books</t>
        </is>
      </c>
    </row>
    <row r="2">
      <c r="A2" s="3" t="inlineStr">
        <is>
          <t>As of 2026-05-08. Confirmed reservations with deposits received.</t>
        </is>
      </c>
    </row>
    <row r="4">
      <c r="A4" s="19" t="inlineStr">
        <is>
          <t>Month</t>
        </is>
      </c>
      <c r="B4" s="19" t="inlineStr">
        <is>
          <t>PF Target</t>
        </is>
      </c>
      <c r="C4" s="19" t="inlineStr">
        <is>
          <t>Booked Revenue</t>
        </is>
      </c>
      <c r="D4" s="19" t="inlineStr">
        <is>
          <t>% of Target</t>
        </is>
      </c>
      <c r="E4" s="19" t="inlineStr">
        <is>
          <t>ADR</t>
        </is>
      </c>
      <c r="F4" s="19" t="inlineStr">
        <is>
          <t>RevPAR</t>
        </is>
      </c>
      <c r="G4" s="19" t="inlineStr">
        <is>
          <t>Remaining</t>
        </is>
      </c>
      <c r="H4" s="19" t="inlineStr">
        <is>
          <t>Status</t>
        </is>
      </c>
    </row>
    <row r="5">
      <c r="A5" s="49" t="inlineStr">
        <is>
          <t>May</t>
        </is>
      </c>
      <c r="B5" s="50" t="n">
        <v>65363</v>
      </c>
      <c r="C5" s="51" t="n">
        <v>65363</v>
      </c>
      <c r="D5" s="52" t="n">
        <v>1</v>
      </c>
      <c r="E5" s="50" t="n">
        <v>464</v>
      </c>
      <c r="F5" s="50" t="n">
        <v>351</v>
      </c>
      <c r="G5" s="50" t="n">
        <v>0</v>
      </c>
      <c r="H5" s="53" t="inlineStr">
        <is>
          <t>Fully Booked</t>
        </is>
      </c>
    </row>
    <row r="6">
      <c r="A6" s="54" t="inlineStr">
        <is>
          <t>Jun</t>
        </is>
      </c>
      <c r="B6" s="55" t="n">
        <v>83160</v>
      </c>
      <c r="C6" s="56" t="n">
        <v>40778</v>
      </c>
      <c r="D6" s="57" t="n">
        <v>0.49</v>
      </c>
      <c r="E6" s="55" t="n">
        <v>551</v>
      </c>
      <c r="F6" s="55" t="n">
        <v>227</v>
      </c>
      <c r="G6" s="55" t="n">
        <v>42382</v>
      </c>
      <c r="H6" s="58" t="inlineStr">
        <is>
          <t>Building</t>
        </is>
      </c>
    </row>
    <row r="7">
      <c r="A7" s="54" t="inlineStr">
        <is>
          <t>Jul</t>
        </is>
      </c>
      <c r="B7" s="55" t="n">
        <v>89775</v>
      </c>
      <c r="C7" s="56" t="n">
        <v>40625</v>
      </c>
      <c r="D7" s="57" t="n">
        <v>0.453</v>
      </c>
      <c r="E7" s="55" t="n">
        <v>557</v>
      </c>
      <c r="F7" s="55" t="n">
        <v>218</v>
      </c>
      <c r="G7" s="55" t="n">
        <v>49150</v>
      </c>
      <c r="H7" s="58" t="inlineStr">
        <is>
          <t>Building</t>
        </is>
      </c>
    </row>
    <row r="8">
      <c r="A8" s="31" t="inlineStr">
        <is>
          <t>Aug</t>
        </is>
      </c>
      <c r="B8" s="59" t="n">
        <v>85680</v>
      </c>
      <c r="C8" s="46" t="n">
        <v>11830</v>
      </c>
      <c r="D8" s="42" t="n">
        <v>0.138</v>
      </c>
      <c r="E8" s="59" t="n">
        <v>473</v>
      </c>
      <c r="F8" s="59" t="n">
        <v>64</v>
      </c>
      <c r="G8" s="59" t="n">
        <v>73850</v>
      </c>
      <c r="H8" s="11" t="inlineStr">
        <is>
          <t>Early</t>
        </is>
      </c>
    </row>
    <row r="9">
      <c r="A9" s="54" t="inlineStr">
        <is>
          <t>Sep</t>
        </is>
      </c>
      <c r="B9" s="55" t="n">
        <v>55062</v>
      </c>
      <c r="C9" s="56" t="n">
        <v>17258</v>
      </c>
      <c r="D9" s="57" t="n">
        <v>0.313</v>
      </c>
      <c r="E9" s="55" t="n">
        <v>479</v>
      </c>
      <c r="F9" s="55" t="n">
        <v>96</v>
      </c>
      <c r="G9" s="55" t="n">
        <v>37804</v>
      </c>
      <c r="H9" s="58" t="inlineStr">
        <is>
          <t>Building</t>
        </is>
      </c>
    </row>
    <row r="10">
      <c r="A10" s="31" t="inlineStr">
        <is>
          <t>Oct</t>
        </is>
      </c>
      <c r="B10" s="59" t="n">
        <v>51030</v>
      </c>
      <c r="C10" s="46" t="n">
        <v>6759</v>
      </c>
      <c r="D10" s="42" t="n">
        <v>0.132</v>
      </c>
      <c r="E10" s="59" t="n">
        <v>483</v>
      </c>
      <c r="F10" s="59" t="n">
        <v>36</v>
      </c>
      <c r="G10" s="59" t="n">
        <v>44271</v>
      </c>
      <c r="H10" s="11" t="inlineStr">
        <is>
          <t>Early</t>
        </is>
      </c>
    </row>
    <row r="11">
      <c r="A11" s="31" t="inlineStr">
        <is>
          <t>Nov</t>
        </is>
      </c>
      <c r="B11" s="59" t="n">
        <v>51030</v>
      </c>
      <c r="C11" s="46" t="n">
        <v>2251</v>
      </c>
      <c r="D11" s="42" t="n">
        <v>0.044</v>
      </c>
      <c r="E11" s="59" t="n">
        <v>450</v>
      </c>
      <c r="F11" s="59" t="n">
        <v>13</v>
      </c>
      <c r="G11" s="59" t="n">
        <v>48779</v>
      </c>
      <c r="H11" s="11" t="inlineStr">
        <is>
          <t>Early</t>
        </is>
      </c>
    </row>
    <row r="12">
      <c r="A12" s="31" t="inlineStr">
        <is>
          <t>Dec</t>
        </is>
      </c>
      <c r="B12" s="59" t="n">
        <v>59052</v>
      </c>
      <c r="C12" s="46" t="n">
        <v>3729</v>
      </c>
      <c r="D12" s="42" t="n">
        <v>0.063</v>
      </c>
      <c r="E12" s="59" t="n">
        <v>339</v>
      </c>
      <c r="F12" s="59" t="n">
        <v>20</v>
      </c>
      <c r="G12" s="59" t="n">
        <v>55323</v>
      </c>
      <c r="H12" s="11" t="inlineStr">
        <is>
          <t>Early</t>
        </is>
      </c>
    </row>
    <row r="13">
      <c r="A13" s="60" t="inlineStr">
        <is>
          <t>TOTAL</t>
        </is>
      </c>
      <c r="B13" s="61">
        <f>SUM(B5:B12)</f>
        <v/>
      </c>
      <c r="C13" s="61">
        <f>SUM(C5:C12)</f>
        <v/>
      </c>
      <c r="D13" s="62">
        <f>C13/B13</f>
        <v/>
      </c>
      <c r="E13" s="63" t="n"/>
      <c r="F13" s="63" t="n"/>
      <c r="G13" s="61">
        <f>B13-C13</f>
        <v/>
      </c>
      <c r="H13" s="63" t="n"/>
    </row>
  </sheetData>
  <mergeCells count="2">
    <mergeCell ref="A2:H2"/>
    <mergeCell ref="A1:H1"/>
  </mergeCells>
  <pageMargins left="0.75" right="0.75" top="1" bottom="1" header="0.5" footer="0.5"/>
</worksheet>
</file>

<file path=xl/worksheets/sheet6.xml><?xml version="1.0" encoding="utf-8"?>
<worksheet xmlns="http://schemas.openxmlformats.org/spreadsheetml/2006/main">
  <sheetPr>
    <tabColor rgb="007B1FA2"/>
    <outlinePr summaryBelow="1" summaryRight="1"/>
    <pageSetUpPr/>
  </sheetPr>
  <dimension ref="A1:C43"/>
  <sheetViews>
    <sheetView workbookViewId="0">
      <pane ySplit="4" topLeftCell="A5" activePane="bottomLeft" state="frozen"/>
      <selection pane="bottomLeft" activeCell="A1" sqref="A1"/>
    </sheetView>
  </sheetViews>
  <sheetFormatPr baseColWidth="8" defaultRowHeight="15"/>
  <cols>
    <col width="38" customWidth="1" min="1" max="1"/>
    <col width="18" customWidth="1" min="2" max="2"/>
    <col width="14" customWidth="1" min="3" max="3"/>
  </cols>
  <sheetData>
    <row r="1">
      <c r="A1" s="18" t="inlineStr">
        <is>
          <t>Casa Yano - 2026 Pro Forma (Blended Forecast)</t>
        </is>
      </c>
    </row>
    <row r="2">
      <c r="A2" s="3" t="inlineStr">
        <is>
          <t>Blends 4 months of closed actuals with seasonal projections calibrated from actual performance</t>
        </is>
      </c>
    </row>
    <row r="4">
      <c r="A4" s="19" t="inlineStr"/>
      <c r="B4" s="19" t="inlineStr">
        <is>
          <t>Amount</t>
        </is>
      </c>
      <c r="C4" s="19" t="inlineStr">
        <is>
          <t>% of Gross</t>
        </is>
      </c>
    </row>
    <row r="5">
      <c r="A5" s="8" t="inlineStr">
        <is>
          <t>Gross Revenue</t>
        </is>
      </c>
      <c r="B5" s="9" t="n">
        <v>776028</v>
      </c>
      <c r="C5" s="17" t="n">
        <v>1</v>
      </c>
    </row>
    <row r="6">
      <c r="A6" s="6" t="inlineStr">
        <is>
          <t xml:space="preserve">  OTA Commissions</t>
        </is>
      </c>
      <c r="B6" s="7" t="n">
        <v>-83999</v>
      </c>
      <c r="C6" s="10">
        <f>B6/B5</f>
        <v/>
      </c>
    </row>
    <row r="7">
      <c r="A7" s="6" t="inlineStr">
        <is>
          <t xml:space="preserve">  Processing Fees</t>
        </is>
      </c>
      <c r="B7" s="7" t="n">
        <v>-5203</v>
      </c>
      <c r="C7" s="10">
        <f>B7/B5</f>
        <v/>
      </c>
    </row>
    <row r="8">
      <c r="A8" s="23" t="inlineStr">
        <is>
          <t>Net to Owner</t>
        </is>
      </c>
      <c r="B8" s="24">
        <f>B5+B6+B7</f>
        <v/>
      </c>
      <c r="C8" s="64">
        <f>B8/B5</f>
        <v/>
      </c>
    </row>
    <row r="10">
      <c r="A10" s="65" t="inlineStr">
        <is>
          <t>Operating Expenses</t>
        </is>
      </c>
      <c r="B10" s="22" t="n"/>
      <c r="C10" s="22" t="n"/>
    </row>
    <row r="11">
      <c r="A11" s="6" t="inlineStr">
        <is>
          <t xml:space="preserve">  Cleaning</t>
        </is>
      </c>
      <c r="B11" s="7" t="n">
        <v>-72622</v>
      </c>
      <c r="C11" s="66">
        <f>B11/B5</f>
        <v/>
      </c>
    </row>
    <row r="12">
      <c r="A12" s="6" t="inlineStr">
        <is>
          <t xml:space="preserve">  Supplies, Maintenance, Other</t>
        </is>
      </c>
      <c r="B12" s="7" t="n">
        <v>-110852</v>
      </c>
      <c r="C12" s="66">
        <f>B12/B5</f>
        <v/>
      </c>
    </row>
    <row r="13">
      <c r="A13" s="6" t="inlineStr">
        <is>
          <t xml:space="preserve">  Management Fee (10% of Gross)</t>
        </is>
      </c>
      <c r="B13" s="7">
        <f>-0.10*B5</f>
        <v/>
      </c>
      <c r="C13" s="66">
        <f>B13/B5</f>
        <v/>
      </c>
    </row>
    <row r="14">
      <c r="A14" s="6" t="inlineStr">
        <is>
          <t xml:space="preserve">  Property Tax</t>
        </is>
      </c>
      <c r="B14" s="7" t="n">
        <v>-26679</v>
      </c>
      <c r="C14" s="66">
        <f>B14/B5</f>
        <v/>
      </c>
    </row>
    <row r="15">
      <c r="A15" s="6" t="inlineStr">
        <is>
          <t xml:space="preserve">  Insurance</t>
        </is>
      </c>
      <c r="B15" s="7" t="n">
        <v>-13500</v>
      </c>
      <c r="C15" s="66">
        <f>B15/B5</f>
        <v/>
      </c>
    </row>
    <row r="16">
      <c r="A16" s="6" t="inlineStr">
        <is>
          <t xml:space="preserve">  Other Fixed Costs (utilities, internet, etc.)</t>
        </is>
      </c>
      <c r="B16" s="7" t="n">
        <v>-24000</v>
      </c>
      <c r="C16" s="66">
        <f>B16/B5</f>
        <v/>
      </c>
    </row>
    <row r="17">
      <c r="A17" s="67" t="inlineStr">
        <is>
          <t>Total Operating Expenses</t>
        </is>
      </c>
      <c r="B17" s="68">
        <f>SUM(B11:B16)</f>
        <v/>
      </c>
      <c r="C17" s="69">
        <f>B17/B5</f>
        <v/>
      </c>
    </row>
    <row r="19">
      <c r="A19" s="27" t="inlineStr">
        <is>
          <t>Net Operating Income</t>
        </is>
      </c>
      <c r="B19" s="28">
        <f>B8+B17</f>
        <v/>
      </c>
      <c r="C19" s="70">
        <f>B19/B5</f>
        <v/>
      </c>
    </row>
    <row r="21">
      <c r="A21" s="4" t="inlineStr">
        <is>
          <t>RECONCILIATION CHECK</t>
        </is>
      </c>
      <c r="B21" s="5" t="n"/>
      <c r="C21" s="5" t="n"/>
    </row>
    <row r="22">
      <c r="A22" s="11" t="inlineStr">
        <is>
          <t>Expected NOI (from model)</t>
        </is>
      </c>
      <c r="B22" s="59" t="n">
        <v>361570</v>
      </c>
    </row>
    <row r="23">
      <c r="A23" s="11" t="inlineStr">
        <is>
          <t>Calculated NOI (this tab)</t>
        </is>
      </c>
      <c r="B23" s="59">
        <f>B19</f>
        <v/>
      </c>
    </row>
    <row r="24">
      <c r="A24" s="11" t="inlineStr">
        <is>
          <t>Variance</t>
        </is>
      </c>
      <c r="B24" s="59">
        <f>B23-B22</f>
        <v/>
      </c>
    </row>
    <row r="25">
      <c r="A25" s="31" t="inlineStr">
        <is>
          <t>Status</t>
        </is>
      </c>
      <c r="B25" s="31">
        <f>IF(ABS(B24)&lt;=1,"OK - reconciles","REVIEW - variance exceeds $1")</f>
        <v/>
      </c>
    </row>
    <row r="27">
      <c r="A27" s="4" t="inlineStr">
        <is>
          <t>PASS-THROUGH TAXES &amp; FEES (INFORMATIONAL)</t>
        </is>
      </c>
      <c r="B27" s="5" t="n"/>
      <c r="C27" s="5" t="n"/>
    </row>
    <row r="28">
      <c r="A28" s="3" t="inlineStr">
        <is>
          <t>The following amounts are collected from guests at booking and either remitted to the City or</t>
        </is>
      </c>
    </row>
    <row r="29">
      <c r="A29" s="3" t="inlineStr">
        <is>
          <t>offset by corresponding expenses. They are NOT deducted from Net to Owner.</t>
        </is>
      </c>
    </row>
    <row r="30">
      <c r="A30" s="6" t="inlineStr">
        <is>
          <t>TOT (Transient Occupancy Tax) collected from guests</t>
        </is>
      </c>
      <c r="B30" s="7" t="n">
        <v>75275</v>
      </c>
    </row>
    <row r="31">
      <c r="A31" s="3" t="inlineStr">
        <is>
          <t xml:space="preserve">  Remitted to City of Santa Barbara (12% lodging tax)</t>
        </is>
      </c>
    </row>
    <row r="32">
      <c r="A32" s="6" t="inlineStr">
        <is>
          <t>Cleaning fees collected from guests</t>
        </is>
      </c>
      <c r="B32" s="71" t="inlineStr">
        <is>
          <t>see Cleaning expense</t>
        </is>
      </c>
    </row>
    <row r="33">
      <c r="A33" s="3" t="inlineStr">
        <is>
          <t xml:space="preserve">  Offset by Cleaning expense above; net-neutral pass-through</t>
        </is>
      </c>
    </row>
    <row r="35">
      <c r="A35" s="4" t="inlineStr">
        <is>
          <t>MODEL INPUTS</t>
        </is>
      </c>
      <c r="B35" s="5" t="n"/>
    </row>
    <row r="36">
      <c r="A36" s="6" t="inlineStr">
        <is>
          <t>Closed Months Used for Calibration</t>
        </is>
      </c>
      <c r="B36" s="6" t="n">
        <v>4</v>
      </c>
    </row>
    <row r="37">
      <c r="A37" s="6" t="inlineStr">
        <is>
          <t>Baseline ADR (de-seasonalized)</t>
        </is>
      </c>
      <c r="B37" s="7" t="n">
        <v>420</v>
      </c>
    </row>
    <row r="38">
      <c r="A38" s="6" t="inlineStr">
        <is>
          <t>Baseline Occupancy (de-seasonalized)</t>
        </is>
      </c>
      <c r="B38" s="10" t="n">
        <v>0.855</v>
      </c>
    </row>
    <row r="39">
      <c r="A39" s="6" t="inlineStr">
        <is>
          <t>Max Occupancy Cap</t>
        </is>
      </c>
      <c r="B39" s="10" t="n">
        <v>0.92</v>
      </c>
    </row>
    <row r="40">
      <c r="A40" s="6" t="inlineStr">
        <is>
          <t>Back-test MAPE (Gross Revenue)</t>
        </is>
      </c>
      <c r="B40" s="10" t="n">
        <v>0.168</v>
      </c>
    </row>
    <row r="42">
      <c r="A42" s="4" t="inlineStr">
        <is>
          <t>METHODOLOGY</t>
        </is>
      </c>
      <c r="B42" s="5" t="n"/>
      <c r="C42" s="5" t="n"/>
    </row>
    <row r="43" ht="90" customHeight="1">
      <c r="A43" s="72" t="inlineStr">
        <is>
          <t>Pro forma projections blend closed-month actuals (sourced from PMS booking data and QuickBooks) with a seasonal model for future months. The seasonal model de-seasonalizes actual ADR and occupancy performance to establish a baseline, then applies monthly seasonal indices derived from Santa Barbara STR demand patterns to project forward revenue. Operating expenses are projected from trailing actuals, with cleaning costs scaled per turnover and fixed costs (management, property tax, insurance) carried at known annual amounts. The model recalibrates automatically as each month closes, incorporating new actuals into the baseline - meaning projections tighten over time as operating history grows.</t>
        </is>
      </c>
    </row>
  </sheetData>
  <mergeCells count="7">
    <mergeCell ref="A28:C28"/>
    <mergeCell ref="A33:C33"/>
    <mergeCell ref="A1:C1"/>
    <mergeCell ref="A31:C31"/>
    <mergeCell ref="A29:C29"/>
    <mergeCell ref="A43:C43"/>
    <mergeCell ref="A2:C2"/>
  </mergeCells>
  <conditionalFormatting sqref="B25">
    <cfRule type="expression" priority="1" dxfId="2">
      <formula>B25="OK - reconciles"</formula>
    </cfRule>
    <cfRule type="expression" priority="2" dxfId="3">
      <formula>NOT(B25="OK - reconciles")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2026-05-12T15:35:55Z</dcterms:created>
  <dcterms:modified xmlns:dcterms="http://purl.org/dc/terms/" xmlns:xsi="http://www.w3.org/2001/XMLSchema-instance" xsi:type="dcterms:W3CDTF">2026-05-12T15:35:55Z</dcterms:modified>
</cp:coreProperties>
</file>