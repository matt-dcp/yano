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2026-06-23</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187</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May 31, 2026</t>
        </is>
      </c>
      <c r="D14" s="6" t="inlineStr">
        <is>
          <t>Projection Basis</t>
        </is>
      </c>
      <c r="E14" s="6" t="inlineStr">
        <is>
          <t>5 months actuals + seasonal model</t>
        </is>
      </c>
    </row>
    <row r="15">
      <c r="A15" s="6" t="inlineStr">
        <is>
          <t>Rental Income</t>
        </is>
      </c>
      <c r="B15" s="7" t="n">
        <v>273154.41</v>
      </c>
      <c r="D15" s="6" t="inlineStr">
        <is>
          <t>Gross Revenue</t>
        </is>
      </c>
      <c r="E15" s="7" t="n">
        <v>786509</v>
      </c>
    </row>
    <row r="16">
      <c r="A16" s="6" t="inlineStr">
        <is>
          <t>Total Operating Expenses</t>
        </is>
      </c>
      <c r="B16" s="7" t="n">
        <v>129044.74</v>
      </c>
      <c r="D16" s="6" t="inlineStr">
        <is>
          <t>Net to Owner</t>
        </is>
      </c>
      <c r="E16" s="7" t="n">
        <v>695948</v>
      </c>
    </row>
    <row r="17">
      <c r="A17" s="8" t="inlineStr">
        <is>
          <t>Net Operating Income</t>
        </is>
      </c>
      <c r="B17" s="9" t="n">
        <v>144109.67</v>
      </c>
      <c r="D17" s="6" t="inlineStr">
        <is>
          <t>Total OpEx + Fixed</t>
        </is>
      </c>
      <c r="E17" s="7" t="n">
        <v>353288</v>
      </c>
    </row>
    <row r="18">
      <c r="D18" s="8" t="inlineStr">
        <is>
          <t>NOI (After Known Fixed)</t>
        </is>
      </c>
      <c r="E18" s="9" t="n">
        <v>342660</v>
      </c>
    </row>
    <row r="19">
      <c r="D19" s="6" t="inlineStr">
        <is>
          <t>Avg ADR (Blended)</t>
        </is>
      </c>
      <c r="E19" s="7" t="n">
        <v>434</v>
      </c>
    </row>
    <row r="20">
      <c r="D20" s="6" t="inlineStr">
        <is>
          <t>Avg Occupancy (Blended)</t>
        </is>
      </c>
      <c r="E20" s="10" t="n">
        <v>0.8220000000000001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May) - strong operating performance</t>
        </is>
      </c>
    </row>
    <row r="26">
      <c r="A26" s="11" t="inlineStr">
        <is>
          <t>•  Best month to date: May at $79,700 gross</t>
        </is>
      </c>
    </row>
    <row r="27">
      <c r="A27" s="11" t="inlineStr">
        <is>
          <t>•  Owner margin of 88.3% - efficient operations with low OTA commission rates</t>
        </is>
      </c>
    </row>
    <row r="28">
      <c r="A28" s="11" t="inlineStr">
        <is>
          <t>•  QBO YTD NOI of $144,110 through May 31 (5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342660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79700</v>
      </c>
      <c r="G7" s="9">
        <f>SUM(B7:F7)</f>
        <v/>
      </c>
    </row>
    <row r="8">
      <c r="A8" s="23" t="inlineStr">
        <is>
          <t>Net to Owner (after OTA &amp; Processing)</t>
        </is>
      </c>
      <c r="B8" s="24" t="n">
        <v>35785</v>
      </c>
      <c r="C8" s="24" t="n">
        <v>48880</v>
      </c>
      <c r="D8" s="24" t="n">
        <v>61256</v>
      </c>
      <c r="E8" s="24" t="n">
        <v>64778</v>
      </c>
      <c r="F8" s="24" t="n">
        <v>69654</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7255</v>
      </c>
      <c r="G11" s="7">
        <f>SUM(B11:F11)</f>
        <v/>
      </c>
    </row>
    <row r="12">
      <c r="A12" s="6" t="inlineStr">
        <is>
          <t xml:space="preserve">  Supplies</t>
        </is>
      </c>
      <c r="B12" s="7" t="n">
        <v>6140</v>
      </c>
      <c r="C12" s="7" t="n">
        <v>912</v>
      </c>
      <c r="D12" s="7" t="n">
        <v>2213</v>
      </c>
      <c r="E12" s="7" t="n">
        <v>607</v>
      </c>
      <c r="F12" s="7" t="n">
        <v>1378</v>
      </c>
      <c r="G12" s="7">
        <f>SUM(B12:F12)</f>
        <v/>
      </c>
    </row>
    <row r="13">
      <c r="A13" s="6" t="inlineStr">
        <is>
          <t xml:space="preserve">  Repairs &amp; Maintenance</t>
        </is>
      </c>
      <c r="B13" s="7" t="n">
        <v>572</v>
      </c>
      <c r="C13" s="7" t="n">
        <v>285</v>
      </c>
      <c r="D13" s="7" t="n">
        <v>1240</v>
      </c>
      <c r="E13" s="7" t="n">
        <v>450</v>
      </c>
      <c r="F13" s="7" t="n">
        <v>284</v>
      </c>
      <c r="G13" s="7">
        <f>SUM(B13:F13)</f>
        <v/>
      </c>
    </row>
    <row r="14">
      <c r="A14" s="6" t="inlineStr">
        <is>
          <t xml:space="preserve">  Management Fee</t>
        </is>
      </c>
      <c r="B14" s="7" t="n">
        <v>4229</v>
      </c>
      <c r="C14" s="7" t="n">
        <v>4522</v>
      </c>
      <c r="D14" s="7" t="n">
        <v>5542</v>
      </c>
      <c r="E14" s="7" t="n">
        <v>7662</v>
      </c>
      <c r="F14" s="7" t="n">
        <v>5832</v>
      </c>
      <c r="G14" s="7">
        <f>SUM(B14:F14)</f>
        <v/>
      </c>
    </row>
    <row r="15">
      <c r="A15" s="6" t="inlineStr">
        <is>
          <t xml:space="preserve">  Marketing &amp; Advertising</t>
        </is>
      </c>
      <c r="B15" s="7" t="n">
        <v>2410</v>
      </c>
      <c r="C15" s="7" t="n">
        <v>0</v>
      </c>
      <c r="D15" s="7" t="n">
        <v>325</v>
      </c>
      <c r="E15" s="7" t="n">
        <v>25</v>
      </c>
      <c r="F15" s="7" t="n">
        <v>60</v>
      </c>
      <c r="G15" s="7">
        <f>SUM(B15:F15)</f>
        <v/>
      </c>
    </row>
    <row r="16">
      <c r="A16" s="6" t="inlineStr">
        <is>
          <t xml:space="preserve">  Taxes &amp; Licenses</t>
        </is>
      </c>
      <c r="B16" s="7" t="n">
        <v>1853</v>
      </c>
      <c r="C16" s="7" t="n">
        <v>5535</v>
      </c>
      <c r="D16" s="7" t="n">
        <v>5953</v>
      </c>
      <c r="E16" s="7" t="n">
        <v>8410</v>
      </c>
      <c r="F16" s="7" t="n">
        <v>9620</v>
      </c>
      <c r="G16" s="7">
        <f>SUM(B16:F16)</f>
        <v/>
      </c>
    </row>
    <row r="17">
      <c r="A17" s="6" t="inlineStr">
        <is>
          <t xml:space="preserve">  Other</t>
        </is>
      </c>
      <c r="B17" s="7" t="n">
        <v>252</v>
      </c>
      <c r="C17" s="7" t="n">
        <v>908</v>
      </c>
      <c r="D17" s="7" t="n">
        <v>285</v>
      </c>
      <c r="E17" s="7" t="n">
        <v>617</v>
      </c>
      <c r="F17" s="7" t="n">
        <v>124</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May 31): $273,154</t>
        </is>
      </c>
    </row>
    <row r="26">
      <c r="A26" s="3" t="inlineStr">
        <is>
          <t>QBO YTD Total Expenses: $129,045  |  QBO YTD NOI: $144,110</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58</v>
      </c>
      <c r="H6" s="37" t="n">
        <v>67</v>
      </c>
      <c r="I6" s="37" t="n">
        <v>67</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134</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0.7440000000000001</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551</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410</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73880</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64898</v>
      </c>
      <c r="H13" s="48" t="n">
        <v>79596</v>
      </c>
      <c r="I13" s="48" t="n">
        <v>76424</v>
      </c>
      <c r="J13" s="48" t="n">
        <v>49586</v>
      </c>
      <c r="K13" s="48" t="n">
        <v>45982</v>
      </c>
      <c r="L13" s="48" t="n">
        <v>45982</v>
      </c>
      <c r="M13" s="48" t="n">
        <v>53127</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2026-06-23.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73880</v>
      </c>
      <c r="C5" s="51" t="n">
        <v>73880</v>
      </c>
      <c r="D5" s="52" t="n">
        <v>1</v>
      </c>
      <c r="E5" s="50" t="n">
        <v>551</v>
      </c>
      <c r="F5" s="50" t="n">
        <v>410</v>
      </c>
      <c r="G5" s="50" t="n">
        <v>0</v>
      </c>
      <c r="H5" s="53" t="inlineStr">
        <is>
          <t>Fully Booked</t>
        </is>
      </c>
    </row>
    <row r="6">
      <c r="A6" s="49" t="inlineStr">
        <is>
          <t>Jul</t>
        </is>
      </c>
      <c r="B6" s="50" t="n">
        <v>90117</v>
      </c>
      <c r="C6" s="51" t="n">
        <v>82492</v>
      </c>
      <c r="D6" s="52" t="n">
        <v>0.915</v>
      </c>
      <c r="E6" s="50" t="n">
        <v>650</v>
      </c>
      <c r="F6" s="50" t="n">
        <v>444</v>
      </c>
      <c r="G6" s="50" t="n">
        <v>7625</v>
      </c>
      <c r="H6" s="53" t="inlineStr">
        <is>
          <t>Strong</t>
        </is>
      </c>
    </row>
    <row r="7">
      <c r="A7" s="54" t="inlineStr">
        <is>
          <t>Aug</t>
        </is>
      </c>
      <c r="B7" s="55" t="n">
        <v>86526</v>
      </c>
      <c r="C7" s="56" t="n">
        <v>33579</v>
      </c>
      <c r="D7" s="57" t="n">
        <v>0.388</v>
      </c>
      <c r="E7" s="55" t="n">
        <v>579</v>
      </c>
      <c r="F7" s="55" t="n">
        <v>181</v>
      </c>
      <c r="G7" s="55" t="n">
        <v>52947</v>
      </c>
      <c r="H7" s="58" t="inlineStr">
        <is>
          <t>Building</t>
        </is>
      </c>
    </row>
    <row r="8">
      <c r="A8" s="54" t="inlineStr">
        <is>
          <t>Sep</t>
        </is>
      </c>
      <c r="B8" s="55" t="n">
        <v>56140</v>
      </c>
      <c r="C8" s="56" t="n">
        <v>16628</v>
      </c>
      <c r="D8" s="57" t="n">
        <v>0.296</v>
      </c>
      <c r="E8" s="55" t="n">
        <v>449</v>
      </c>
      <c r="F8" s="55" t="n">
        <v>92</v>
      </c>
      <c r="G8" s="55" t="n">
        <v>39512</v>
      </c>
      <c r="H8" s="58" t="inlineStr">
        <is>
          <t>Building</t>
        </is>
      </c>
    </row>
    <row r="9">
      <c r="A9" s="31" t="inlineStr">
        <is>
          <t>Oct</t>
        </is>
      </c>
      <c r="B9" s="59" t="n">
        <v>52060</v>
      </c>
      <c r="C9" s="46" t="n">
        <v>5147</v>
      </c>
      <c r="D9" s="42" t="n">
        <v>0.099</v>
      </c>
      <c r="E9" s="59" t="n">
        <v>396</v>
      </c>
      <c r="F9" s="59" t="n">
        <v>28</v>
      </c>
      <c r="G9" s="59" t="n">
        <v>46913</v>
      </c>
      <c r="H9" s="11" t="inlineStr">
        <is>
          <t>Early</t>
        </is>
      </c>
    </row>
    <row r="10">
      <c r="A10" s="31" t="inlineStr">
        <is>
          <t>Nov</t>
        </is>
      </c>
      <c r="B10" s="59" t="n">
        <v>52060</v>
      </c>
      <c r="C10" s="46" t="n">
        <v>5590</v>
      </c>
      <c r="D10" s="42" t="n">
        <v>0.107</v>
      </c>
      <c r="E10" s="59" t="n">
        <v>508</v>
      </c>
      <c r="F10" s="59" t="n">
        <v>31</v>
      </c>
      <c r="G10" s="59" t="n">
        <v>46470</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786509</v>
      </c>
      <c r="C5" s="17" t="n">
        <v>1</v>
      </c>
    </row>
    <row r="6">
      <c r="A6" s="6" t="inlineStr">
        <is>
          <t xml:space="preserve">  OTA Commissions</t>
        </is>
      </c>
      <c r="B6" s="7" t="n">
        <v>-85234</v>
      </c>
      <c r="C6" s="10">
        <f>B6/B5</f>
        <v/>
      </c>
    </row>
    <row r="7">
      <c r="A7" s="6" t="inlineStr">
        <is>
          <t xml:space="preserve">  Processing Fees</t>
        </is>
      </c>
      <c r="B7" s="7" t="n">
        <v>-5327</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-76097</v>
      </c>
      <c r="C11" s="66">
        <f>B11/B5</f>
        <v/>
      </c>
    </row>
    <row r="12">
      <c r="A12" s="6" t="inlineStr">
        <is>
          <t xml:space="preserve">  Supplies, Maintenance, Other</t>
        </is>
      </c>
      <c r="B12" s="7" t="n">
        <v>-134361</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342660</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76291</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2026-06-23T15:23:58Z</dcterms:created>
  <dcterms:modified xmlns:dcterms="http://purl.org/dc/terms/" xmlns:xsi="http://www.w3.org/2001/XMLSchema-instance" xsi:type="dcterms:W3CDTF">2026-06-23T15:23:58Z</dcterms:modified>
</cp:coreProperties>
</file>