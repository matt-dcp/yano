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9">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8" borderId="0" pivotButton="0" quotePrefix="0" xfId="0"/>
    <xf numFmtId="164" fontId="5" fillId="8" borderId="0" pivotButton="0" quotePrefix="0" xfId="0"/>
    <xf numFmtId="164" fontId="6" fillId="8" borderId="0" pivotButton="0" quotePrefix="0" xfId="0"/>
    <xf numFmtId="165" fontId="6" fillId="8" borderId="0" pivotButton="0" quotePrefix="0" xfId="0"/>
    <xf numFmtId="0" fontId="5" fillId="8"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2026-06-30</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194</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Jun 30, 2026</t>
        </is>
      </c>
      <c r="D14" s="6" t="inlineStr">
        <is>
          <t>Projection Basis</t>
        </is>
      </c>
      <c r="E14" s="6" t="inlineStr">
        <is>
          <t>6 months actuals + seasonal model</t>
        </is>
      </c>
    </row>
    <row r="15">
      <c r="A15" s="6" t="inlineStr">
        <is>
          <t>Rental Income</t>
        </is>
      </c>
      <c r="B15" s="7" t="n">
        <v>341945.84</v>
      </c>
      <c r="D15" s="6" t="inlineStr">
        <is>
          <t>Gross Revenue</t>
        </is>
      </c>
      <c r="E15" s="7" t="n">
        <v>787475</v>
      </c>
    </row>
    <row r="16">
      <c r="A16" s="6" t="inlineStr">
        <is>
          <t>Total Operating Expenses</t>
        </is>
      </c>
      <c r="B16" s="7" t="n">
        <v>159686.64</v>
      </c>
      <c r="D16" s="6" t="inlineStr">
        <is>
          <t>Net to Owner</t>
        </is>
      </c>
      <c r="E16" s="7" t="n">
        <v>695427</v>
      </c>
    </row>
    <row r="17">
      <c r="A17" s="8" t="inlineStr">
        <is>
          <t>Net Operating Income</t>
        </is>
      </c>
      <c r="B17" s="9" t="n">
        <v>182259.2</v>
      </c>
      <c r="D17" s="6" t="inlineStr">
        <is>
          <t>Total OpEx + Fixed</t>
        </is>
      </c>
      <c r="E17" s="7" t="n">
        <v>364968</v>
      </c>
    </row>
    <row r="18">
      <c r="D18" s="8" t="inlineStr">
        <is>
          <t>NOI (After Known Fixed)</t>
        </is>
      </c>
      <c r="E18" s="9" t="n">
        <v>330459</v>
      </c>
    </row>
    <row r="19">
      <c r="D19" s="6" t="inlineStr">
        <is>
          <t>Avg ADR (Blended)</t>
        </is>
      </c>
      <c r="E19" s="7" t="n">
        <v>437</v>
      </c>
    </row>
    <row r="20">
      <c r="D20" s="6" t="inlineStr">
        <is>
          <t>Avg Occupancy (Blended)</t>
        </is>
      </c>
      <c r="E20" s="10" t="n">
        <v>0.8159999999999999</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ranging from 75% to 91% across closed months (Jan - Jun) - strong operating performance</t>
        </is>
      </c>
    </row>
    <row r="26">
      <c r="A26" s="11" t="inlineStr">
        <is>
          <t>•  Best month to date: May at $79,700 gross</t>
        </is>
      </c>
    </row>
    <row r="27">
      <c r="A27" s="11" t="inlineStr">
        <is>
          <t>•  Owner margin of 88.2% - efficient operations with low OTA commission rates</t>
        </is>
      </c>
    </row>
    <row r="28">
      <c r="A28" s="11" t="inlineStr">
        <is>
          <t>•  QBO YTD NOI of $182,259 through June 30 (6 months of operations, annualizes to ~$364,518)</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330459</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H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Profit &amp; Loss by Month (2026)</t>
        </is>
      </c>
    </row>
    <row r="2">
      <c r="A2" s="2" t="inlineStr">
        <is>
          <t>Operating data: January – Jun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Jun</t>
        </is>
      </c>
      <c r="H5" s="20" t="inlineStr">
        <is>
          <t>YTD Total</t>
        </is>
      </c>
    </row>
    <row r="6">
      <c r="A6" s="21" t="inlineStr">
        <is>
          <t>INCOME</t>
        </is>
      </c>
      <c r="B6" s="22" t="n"/>
      <c r="C6" s="22" t="n"/>
      <c r="D6" s="22" t="n"/>
      <c r="E6" s="22" t="n"/>
      <c r="F6" s="22" t="n"/>
      <c r="G6" s="22" t="n"/>
      <c r="H6" s="22" t="n"/>
    </row>
    <row r="7">
      <c r="A7" s="8" t="inlineStr">
        <is>
          <t>Gross Booking Revenue</t>
        </is>
      </c>
      <c r="B7" s="9" t="n">
        <v>40041</v>
      </c>
      <c r="C7" s="9" t="n">
        <v>54065</v>
      </c>
      <c r="D7" s="9" t="n">
        <v>68024</v>
      </c>
      <c r="E7" s="9" t="n">
        <v>73746</v>
      </c>
      <c r="F7" s="9" t="n">
        <v>79700</v>
      </c>
      <c r="G7" s="9" t="n">
        <v>77046</v>
      </c>
      <c r="H7" s="9">
        <f>SUM(B7:G7)</f>
        <v/>
      </c>
    </row>
    <row r="8">
      <c r="A8" s="23" t="inlineStr">
        <is>
          <t>Net to Owner (after OTA &amp; Processing)</t>
        </is>
      </c>
      <c r="B8" s="24" t="n">
        <v>35785</v>
      </c>
      <c r="C8" s="24" t="n">
        <v>48880</v>
      </c>
      <c r="D8" s="24" t="n">
        <v>61256</v>
      </c>
      <c r="E8" s="24" t="n">
        <v>64778</v>
      </c>
      <c r="F8" s="24" t="n">
        <v>69654</v>
      </c>
      <c r="G8" s="24" t="n">
        <v>66938</v>
      </c>
      <c r="H8" s="24">
        <f>SUM(B8:G8)</f>
        <v/>
      </c>
    </row>
    <row r="10">
      <c r="A10" s="21" t="inlineStr">
        <is>
          <t>OPERATING EXPENSES</t>
        </is>
      </c>
      <c r="B10" s="22" t="n"/>
      <c r="C10" s="22" t="n"/>
      <c r="D10" s="22" t="n"/>
      <c r="E10" s="22" t="n"/>
      <c r="F10" s="22" t="n"/>
      <c r="G10" s="22" t="n"/>
      <c r="H10" s="22" t="n"/>
    </row>
    <row r="11">
      <c r="A11" s="6" t="inlineStr">
        <is>
          <t xml:space="preserve">  Cleaning</t>
        </is>
      </c>
      <c r="B11" s="7" t="n">
        <v>8483</v>
      </c>
      <c r="C11" s="7" t="n">
        <v>5790</v>
      </c>
      <c r="D11" s="7" t="n">
        <v>7028</v>
      </c>
      <c r="E11" s="7" t="n">
        <v>7020</v>
      </c>
      <c r="F11" s="7" t="n">
        <v>7255</v>
      </c>
      <c r="G11" s="7" t="n">
        <v>7940</v>
      </c>
      <c r="H11" s="7">
        <f>SUM(B11:G11)</f>
        <v/>
      </c>
    </row>
    <row r="12">
      <c r="A12" s="6" t="inlineStr">
        <is>
          <t xml:space="preserve">  Supplies</t>
        </is>
      </c>
      <c r="B12" s="7" t="n">
        <v>6140</v>
      </c>
      <c r="C12" s="7" t="n">
        <v>912</v>
      </c>
      <c r="D12" s="7" t="n">
        <v>2213</v>
      </c>
      <c r="E12" s="7" t="n">
        <v>607</v>
      </c>
      <c r="F12" s="7" t="n">
        <v>1378</v>
      </c>
      <c r="G12" s="7" t="n">
        <v>4189</v>
      </c>
      <c r="H12" s="7">
        <f>SUM(B12:G12)</f>
        <v/>
      </c>
    </row>
    <row r="13">
      <c r="A13" s="6" t="inlineStr">
        <is>
          <t xml:space="preserve">  Repairs &amp; Maintenance</t>
        </is>
      </c>
      <c r="B13" s="7" t="n">
        <v>572</v>
      </c>
      <c r="C13" s="7" t="n">
        <v>285</v>
      </c>
      <c r="D13" s="7" t="n">
        <v>1240</v>
      </c>
      <c r="E13" s="7" t="n">
        <v>450</v>
      </c>
      <c r="F13" s="7" t="n">
        <v>284</v>
      </c>
      <c r="G13" s="7" t="n">
        <v>270</v>
      </c>
      <c r="H13" s="7">
        <f>SUM(B13:G13)</f>
        <v/>
      </c>
    </row>
    <row r="14">
      <c r="A14" s="6" t="inlineStr">
        <is>
          <t xml:space="preserve">  Management Fee</t>
        </is>
      </c>
      <c r="B14" s="7" t="n">
        <v>4229</v>
      </c>
      <c r="C14" s="7" t="n">
        <v>4522</v>
      </c>
      <c r="D14" s="7" t="n">
        <v>5542</v>
      </c>
      <c r="E14" s="7" t="n">
        <v>7662</v>
      </c>
      <c r="F14" s="7" t="n">
        <v>5832</v>
      </c>
      <c r="G14" s="7" t="n">
        <v>6718</v>
      </c>
      <c r="H14" s="7">
        <f>SUM(B14:G14)</f>
        <v/>
      </c>
    </row>
    <row r="15">
      <c r="A15" s="6" t="inlineStr">
        <is>
          <t xml:space="preserve">  Marketing &amp; Advertising</t>
        </is>
      </c>
      <c r="B15" s="7" t="n">
        <v>2410</v>
      </c>
      <c r="C15" s="7" t="n">
        <v>0</v>
      </c>
      <c r="D15" s="7" t="n">
        <v>325</v>
      </c>
      <c r="E15" s="7" t="n">
        <v>25</v>
      </c>
      <c r="F15" s="7" t="n">
        <v>60</v>
      </c>
      <c r="G15" s="7" t="n">
        <v>50</v>
      </c>
      <c r="H15" s="7">
        <f>SUM(B15:G15)</f>
        <v/>
      </c>
    </row>
    <row r="16">
      <c r="A16" s="6" t="inlineStr">
        <is>
          <t xml:space="preserve">  Taxes &amp; Licenses</t>
        </is>
      </c>
      <c r="B16" s="7" t="n">
        <v>1853</v>
      </c>
      <c r="C16" s="7" t="n">
        <v>5535</v>
      </c>
      <c r="D16" s="7" t="n">
        <v>5953</v>
      </c>
      <c r="E16" s="7" t="n">
        <v>8410</v>
      </c>
      <c r="F16" s="7" t="n">
        <v>9620</v>
      </c>
      <c r="G16" s="7" t="n">
        <v>9858</v>
      </c>
      <c r="H16" s="7">
        <f>SUM(B16:G16)</f>
        <v/>
      </c>
    </row>
    <row r="17">
      <c r="A17" s="6" t="inlineStr">
        <is>
          <t xml:space="preserve">  Other</t>
        </is>
      </c>
      <c r="B17" s="7" t="n">
        <v>252</v>
      </c>
      <c r="C17" s="7" t="n">
        <v>908</v>
      </c>
      <c r="D17" s="7" t="n">
        <v>285</v>
      </c>
      <c r="E17" s="7" t="n">
        <v>617</v>
      </c>
      <c r="F17" s="7" t="n">
        <v>124</v>
      </c>
      <c r="G17" s="7" t="n">
        <v>402</v>
      </c>
      <c r="H17" s="7">
        <f>SUM(B17:G17)</f>
        <v/>
      </c>
    </row>
    <row r="18">
      <c r="A18" s="25" t="inlineStr">
        <is>
          <t>Total Operating Expenses</t>
        </is>
      </c>
      <c r="B18" s="26">
        <f>SUM(B11:B17)</f>
        <v/>
      </c>
      <c r="C18" s="26">
        <f>SUM(C11:C17)</f>
        <v/>
      </c>
      <c r="D18" s="26">
        <f>SUM(D11:D17)</f>
        <v/>
      </c>
      <c r="E18" s="26">
        <f>SUM(E11:E17)</f>
        <v/>
      </c>
      <c r="F18" s="26">
        <f>SUM(F11:F17)</f>
        <v/>
      </c>
      <c r="G18" s="26">
        <f>SUM(G11:G17)</f>
        <v/>
      </c>
      <c r="H18" s="26">
        <f>SUM(B18:G18)</f>
        <v/>
      </c>
    </row>
    <row r="20">
      <c r="A20" s="27" t="inlineStr">
        <is>
          <t>Net Operating Income</t>
        </is>
      </c>
      <c r="B20" s="28">
        <f>B8-B18</f>
        <v/>
      </c>
      <c r="C20" s="28">
        <f>C8-C18</f>
        <v/>
      </c>
      <c r="D20" s="28">
        <f>D8-D18</f>
        <v/>
      </c>
      <c r="E20" s="28">
        <f>E8-E18</f>
        <v/>
      </c>
      <c r="F20" s="28">
        <f>F8-F18</f>
        <v/>
      </c>
      <c r="G20" s="28">
        <f>G8-G18</f>
        <v/>
      </c>
      <c r="H20" s="28">
        <f>SUM(B20:G20)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c r="H22" s="30">
        <f>IF(ROUND(H8-H18-H20,0)=0,"OK","ERR")</f>
        <v/>
      </c>
    </row>
    <row r="24">
      <c r="A24" s="4" t="inlineStr">
        <is>
          <t>QBO RECONCILIATION</t>
        </is>
      </c>
      <c r="B24" s="5" t="n"/>
      <c r="C24" s="5" t="n"/>
      <c r="D24" s="5" t="n"/>
      <c r="E24" s="5" t="n"/>
      <c r="F24" s="5" t="n"/>
      <c r="G24" s="5" t="n"/>
      <c r="H24" s="5" t="n"/>
    </row>
    <row r="25">
      <c r="A25" s="3" t="inlineStr">
        <is>
          <t>QBO YTD Rental Income (Jan 1 – Jun 30): $341,946</t>
        </is>
      </c>
    </row>
    <row r="26">
      <c r="A26" s="3" t="inlineStr">
        <is>
          <t>QBO YTD Total Expenses: $159,687  |  QBO YTD NOI: $182,259</t>
        </is>
      </c>
    </row>
    <row r="27">
      <c r="A27" s="3" t="inlineStr">
        <is>
          <t>Note: Minor variances between PMS and QBO are expected due to cash vs accrual timing and partial-month cutoffs.</t>
        </is>
      </c>
    </row>
  </sheetData>
  <mergeCells count="6">
    <mergeCell ref="A26:H26"/>
    <mergeCell ref="A3:H3"/>
    <mergeCell ref="A25:H25"/>
    <mergeCell ref="A2:H2"/>
    <mergeCell ref="A1:H1"/>
    <mergeCell ref="A27:H27"/>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conditionalFormatting sqref="H22">
    <cfRule type="expression" priority="13" dxfId="0">
      <formula>H22="OK"</formula>
    </cfRule>
    <cfRule type="expression" priority="14" dxfId="1">
      <formula>H22="ERR"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2" t="inlineStr">
        <is>
          <t>ACTUAL</t>
        </is>
      </c>
      <c r="H4" s="33" t="inlineStr">
        <is>
          <t>PROJECTED</t>
        </is>
      </c>
      <c r="I4" s="33" t="inlineStr">
        <is>
          <t>PROJECTED</t>
        </is>
      </c>
      <c r="J4" s="33" t="inlineStr">
        <is>
          <t>PROJECTED</t>
        </is>
      </c>
      <c r="K4" s="33" t="inlineStr">
        <is>
          <t>PROJECTED</t>
        </is>
      </c>
      <c r="L4" s="33" t="inlineStr">
        <is>
          <t>PROJECTED</t>
        </is>
      </c>
      <c r="M4" s="33" t="inlineStr">
        <is>
          <t>PROJECTED</t>
        </is>
      </c>
    </row>
    <row r="5">
      <c r="A5" s="34"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5" t="inlineStr">
        <is>
          <t>Bookings</t>
        </is>
      </c>
      <c r="B6" s="36" t="n">
        <v>56</v>
      </c>
      <c r="C6" s="36" t="n">
        <v>55</v>
      </c>
      <c r="D6" s="36" t="n">
        <v>60</v>
      </c>
      <c r="E6" s="36" t="n">
        <v>69</v>
      </c>
      <c r="F6" s="36" t="n">
        <v>77</v>
      </c>
      <c r="G6" s="36" t="n">
        <v>61</v>
      </c>
      <c r="H6" s="36" t="n">
        <v>68</v>
      </c>
      <c r="I6" s="36" t="n">
        <v>66</v>
      </c>
      <c r="J6" s="36" t="n">
        <v>54</v>
      </c>
      <c r="K6" s="36" t="n">
        <v>53</v>
      </c>
      <c r="L6" s="36" t="n">
        <v>53</v>
      </c>
      <c r="M6" s="36" t="n">
        <v>58</v>
      </c>
      <c r="N6" s="37">
        <f>SUM(B6:M6)</f>
        <v/>
      </c>
    </row>
    <row r="7">
      <c r="A7" s="11" t="inlineStr">
        <is>
          <t>Nights Sold</t>
        </is>
      </c>
      <c r="B7" s="38" t="n">
        <v>140</v>
      </c>
      <c r="C7" s="38" t="n">
        <v>136</v>
      </c>
      <c r="D7" s="38" t="n">
        <v>164</v>
      </c>
      <c r="E7" s="38" t="n">
        <v>151</v>
      </c>
      <c r="F7" s="38" t="n">
        <v>169</v>
      </c>
      <c r="G7" s="38" t="n">
        <v>140</v>
      </c>
      <c r="H7" s="38" t="n">
        <v>171</v>
      </c>
      <c r="I7" s="38" t="n">
        <v>168</v>
      </c>
      <c r="J7" s="38" t="n">
        <v>136</v>
      </c>
      <c r="K7" s="38" t="n">
        <v>133</v>
      </c>
      <c r="L7" s="38" t="n">
        <v>133</v>
      </c>
      <c r="M7" s="38" t="n">
        <v>146</v>
      </c>
      <c r="N7" s="39">
        <f>SUM(B7:M7)</f>
        <v/>
      </c>
    </row>
    <row r="8">
      <c r="A8" s="35" t="inlineStr">
        <is>
          <t>Available Nights</t>
        </is>
      </c>
      <c r="B8" s="36" t="n">
        <v>186</v>
      </c>
      <c r="C8" s="36" t="n">
        <v>168</v>
      </c>
      <c r="D8" s="36" t="n">
        <v>186</v>
      </c>
      <c r="E8" s="36" t="n">
        <v>180</v>
      </c>
      <c r="F8" s="36" t="n">
        <v>186</v>
      </c>
      <c r="G8" s="36" t="n">
        <v>180</v>
      </c>
      <c r="H8" s="36" t="n">
        <v>186</v>
      </c>
      <c r="I8" s="36" t="n">
        <v>186</v>
      </c>
      <c r="J8" s="36" t="n">
        <v>180</v>
      </c>
      <c r="K8" s="36" t="n">
        <v>186</v>
      </c>
      <c r="L8" s="36" t="n">
        <v>180</v>
      </c>
      <c r="M8" s="36" t="n">
        <v>186</v>
      </c>
      <c r="N8" s="37">
        <f>SUM(B8:M8)</f>
        <v/>
      </c>
    </row>
    <row r="9">
      <c r="A9" s="11" t="inlineStr">
        <is>
          <t>Occupancy</t>
        </is>
      </c>
      <c r="B9" s="40" t="n">
        <v>0.753</v>
      </c>
      <c r="C9" s="40" t="n">
        <v>0.8100000000000001</v>
      </c>
      <c r="D9" s="40" t="n">
        <v>0.882</v>
      </c>
      <c r="E9" s="40" t="n">
        <v>0.8390000000000001</v>
      </c>
      <c r="F9" s="40" t="n">
        <v>0.909</v>
      </c>
      <c r="G9" s="40" t="n">
        <v>0.778</v>
      </c>
      <c r="H9" s="40" t="n">
        <v>0.92</v>
      </c>
      <c r="I9" s="40" t="n">
        <v>0.9009999999999999</v>
      </c>
      <c r="J9" s="40" t="n">
        <v>0.758</v>
      </c>
      <c r="K9" s="40" t="n">
        <v>0.716</v>
      </c>
      <c r="L9" s="40" t="n">
        <v>0.741</v>
      </c>
      <c r="M9" s="40" t="n">
        <v>0.7829999999999999</v>
      </c>
      <c r="N9" s="41">
        <f>AVERAGE(B9:M9)</f>
        <v/>
      </c>
    </row>
    <row r="10">
      <c r="A10" s="35" t="inlineStr">
        <is>
          <t>ADR</t>
        </is>
      </c>
      <c r="B10" s="42" t="n">
        <v>286</v>
      </c>
      <c r="C10" s="42" t="n">
        <v>398</v>
      </c>
      <c r="D10" s="42" t="n">
        <v>415</v>
      </c>
      <c r="E10" s="42" t="n">
        <v>488</v>
      </c>
      <c r="F10" s="42" t="n">
        <v>472</v>
      </c>
      <c r="G10" s="42" t="n">
        <v>550</v>
      </c>
      <c r="H10" s="42" t="n">
        <v>535</v>
      </c>
      <c r="I10" s="42" t="n">
        <v>513</v>
      </c>
      <c r="J10" s="42" t="n">
        <v>407</v>
      </c>
      <c r="K10" s="42" t="n">
        <v>385</v>
      </c>
      <c r="L10" s="42" t="n">
        <v>385</v>
      </c>
      <c r="M10" s="42" t="n">
        <v>407</v>
      </c>
      <c r="N10" s="43">
        <f>SUM(B10:M10)</f>
        <v/>
      </c>
    </row>
    <row r="11">
      <c r="A11" s="11" t="inlineStr">
        <is>
          <t>RevPAR</t>
        </is>
      </c>
      <c r="B11" s="44" t="n">
        <v>215</v>
      </c>
      <c r="C11" s="44" t="n">
        <v>322</v>
      </c>
      <c r="D11" s="44" t="n">
        <v>366</v>
      </c>
      <c r="E11" s="44" t="n">
        <v>410</v>
      </c>
      <c r="F11" s="44" t="n">
        <v>428</v>
      </c>
      <c r="G11" s="44" t="n">
        <v>428</v>
      </c>
      <c r="H11" s="44" t="n">
        <v>492</v>
      </c>
      <c r="I11" s="44" t="n">
        <v>463</v>
      </c>
      <c r="J11" s="44" t="n">
        <v>308</v>
      </c>
      <c r="K11" s="44" t="n">
        <v>275</v>
      </c>
      <c r="L11" s="44" t="n">
        <v>284</v>
      </c>
      <c r="M11" s="44" t="n">
        <v>319</v>
      </c>
      <c r="N11" s="45">
        <f>SUM(B11:M11)</f>
        <v/>
      </c>
    </row>
    <row r="12">
      <c r="A12" s="21" t="inlineStr">
        <is>
          <t>Gross Revenue</t>
        </is>
      </c>
      <c r="B12" s="46" t="n">
        <v>40041</v>
      </c>
      <c r="C12" s="46" t="n">
        <v>54065</v>
      </c>
      <c r="D12" s="46" t="n">
        <v>68024</v>
      </c>
      <c r="E12" s="46" t="n">
        <v>73746</v>
      </c>
      <c r="F12" s="46" t="n">
        <v>79700</v>
      </c>
      <c r="G12" s="46" t="n">
        <v>77046</v>
      </c>
      <c r="H12" s="46" t="n">
        <v>91485</v>
      </c>
      <c r="I12" s="46" t="n">
        <v>86184</v>
      </c>
      <c r="J12" s="46" t="n">
        <v>55352</v>
      </c>
      <c r="K12" s="46" t="n">
        <v>51205</v>
      </c>
      <c r="L12" s="46" t="n">
        <v>51205</v>
      </c>
      <c r="M12" s="46" t="n">
        <v>59422</v>
      </c>
      <c r="N12" s="43">
        <f>SUM(B12:M12)</f>
        <v/>
      </c>
    </row>
    <row r="13">
      <c r="A13" s="31" t="inlineStr">
        <is>
          <t>Net to Owner</t>
        </is>
      </c>
      <c r="B13" s="47" t="n">
        <v>35785</v>
      </c>
      <c r="C13" s="47" t="n">
        <v>48880</v>
      </c>
      <c r="D13" s="47" t="n">
        <v>61256</v>
      </c>
      <c r="E13" s="47" t="n">
        <v>64778</v>
      </c>
      <c r="F13" s="47" t="n">
        <v>69654</v>
      </c>
      <c r="G13" s="47" t="n">
        <v>66938</v>
      </c>
      <c r="H13" s="47" t="n">
        <v>80661</v>
      </c>
      <c r="I13" s="47" t="n">
        <v>75987</v>
      </c>
      <c r="J13" s="47" t="n">
        <v>48803</v>
      </c>
      <c r="K13" s="47" t="n">
        <v>45147</v>
      </c>
      <c r="L13" s="47" t="n">
        <v>45147</v>
      </c>
      <c r="M13" s="47" t="n">
        <v>52391</v>
      </c>
      <c r="N13" s="45">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2026-06-30.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8" t="inlineStr">
        <is>
          <t>Jul</t>
        </is>
      </c>
      <c r="B5" s="49" t="n">
        <v>91485</v>
      </c>
      <c r="C5" s="50" t="n">
        <v>86728</v>
      </c>
      <c r="D5" s="51" t="n">
        <v>0.948</v>
      </c>
      <c r="E5" s="49" t="n">
        <v>657</v>
      </c>
      <c r="F5" s="49" t="n">
        <v>466</v>
      </c>
      <c r="G5" s="49" t="n">
        <v>4757</v>
      </c>
      <c r="H5" s="52" t="inlineStr">
        <is>
          <t>Strong</t>
        </is>
      </c>
    </row>
    <row r="6">
      <c r="A6" s="53" t="inlineStr">
        <is>
          <t>Aug</t>
        </is>
      </c>
      <c r="B6" s="54" t="n">
        <v>86184</v>
      </c>
      <c r="C6" s="55" t="n">
        <v>37411</v>
      </c>
      <c r="D6" s="56" t="n">
        <v>0.434</v>
      </c>
      <c r="E6" s="54" t="n">
        <v>576</v>
      </c>
      <c r="F6" s="54" t="n">
        <v>201</v>
      </c>
      <c r="G6" s="54" t="n">
        <v>48773</v>
      </c>
      <c r="H6" s="57" t="inlineStr">
        <is>
          <t>Building</t>
        </is>
      </c>
    </row>
    <row r="7">
      <c r="A7" s="53" t="inlineStr">
        <is>
          <t>Sep</t>
        </is>
      </c>
      <c r="B7" s="54" t="n">
        <v>55352</v>
      </c>
      <c r="C7" s="55" t="n">
        <v>21175</v>
      </c>
      <c r="D7" s="56" t="n">
        <v>0.383</v>
      </c>
      <c r="E7" s="54" t="n">
        <v>471</v>
      </c>
      <c r="F7" s="54" t="n">
        <v>118</v>
      </c>
      <c r="G7" s="54" t="n">
        <v>34177</v>
      </c>
      <c r="H7" s="57" t="inlineStr">
        <is>
          <t>Building</t>
        </is>
      </c>
    </row>
    <row r="8">
      <c r="A8" s="31" t="inlineStr">
        <is>
          <t>Oct</t>
        </is>
      </c>
      <c r="B8" s="58" t="n">
        <v>51205</v>
      </c>
      <c r="C8" s="45" t="n">
        <v>5147</v>
      </c>
      <c r="D8" s="41" t="n">
        <v>0.101</v>
      </c>
      <c r="E8" s="58" t="n">
        <v>396</v>
      </c>
      <c r="F8" s="58" t="n">
        <v>28</v>
      </c>
      <c r="G8" s="58" t="n">
        <v>46058</v>
      </c>
      <c r="H8" s="11" t="inlineStr">
        <is>
          <t>Early</t>
        </is>
      </c>
    </row>
    <row r="9">
      <c r="A9" s="31" t="inlineStr">
        <is>
          <t>Nov</t>
        </is>
      </c>
      <c r="B9" s="58" t="n">
        <v>51205</v>
      </c>
      <c r="C9" s="45" t="n">
        <v>5590</v>
      </c>
      <c r="D9" s="41" t="n">
        <v>0.109</v>
      </c>
      <c r="E9" s="58" t="n">
        <v>508</v>
      </c>
      <c r="F9" s="58" t="n">
        <v>31</v>
      </c>
      <c r="G9" s="58" t="n">
        <v>45615</v>
      </c>
      <c r="H9" s="11" t="inlineStr">
        <is>
          <t>Early</t>
        </is>
      </c>
    </row>
    <row r="10">
      <c r="A10" s="31" t="inlineStr">
        <is>
          <t>Dec</t>
        </is>
      </c>
      <c r="B10" s="58" t="n">
        <v>59422</v>
      </c>
      <c r="C10" s="45" t="n">
        <v>5822</v>
      </c>
      <c r="D10" s="41" t="n">
        <v>0.098</v>
      </c>
      <c r="E10" s="58" t="n">
        <v>342</v>
      </c>
      <c r="F10" s="58" t="n">
        <v>31</v>
      </c>
      <c r="G10" s="58" t="n">
        <v>53600</v>
      </c>
      <c r="H10" s="11" t="inlineStr">
        <is>
          <t>Early</t>
        </is>
      </c>
    </row>
    <row r="11">
      <c r="A11" s="59" t="inlineStr">
        <is>
          <t>TOTAL</t>
        </is>
      </c>
      <c r="B11" s="60">
        <f>SUM(B5:B10)</f>
        <v/>
      </c>
      <c r="C11" s="60">
        <f>SUM(C5:C10)</f>
        <v/>
      </c>
      <c r="D11" s="61">
        <f>C11/B11</f>
        <v/>
      </c>
      <c r="E11" s="62" t="n"/>
      <c r="F11" s="62" t="n"/>
      <c r="G11" s="60">
        <f>B11-C11</f>
        <v/>
      </c>
      <c r="H11" s="62"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6 months of closed actuals with seasonal projections calibrated from actual performance</t>
        </is>
      </c>
    </row>
    <row r="4">
      <c r="A4" s="19" t="inlineStr"/>
      <c r="B4" s="19" t="inlineStr">
        <is>
          <t>Amount</t>
        </is>
      </c>
      <c r="C4" s="19" t="inlineStr">
        <is>
          <t>% of Gross</t>
        </is>
      </c>
    </row>
    <row r="5">
      <c r="A5" s="8" t="inlineStr">
        <is>
          <t>Gross Revenue</t>
        </is>
      </c>
      <c r="B5" s="9" t="n">
        <v>787475</v>
      </c>
      <c r="C5" s="17" t="n">
        <v>1</v>
      </c>
    </row>
    <row r="6">
      <c r="A6" s="6" t="inlineStr">
        <is>
          <t xml:space="preserve">  OTA Commissions</t>
        </is>
      </c>
      <c r="B6" s="7" t="n">
        <v>-86588</v>
      </c>
      <c r="C6" s="10">
        <f>B6/B5</f>
        <v/>
      </c>
    </row>
    <row r="7">
      <c r="A7" s="6" t="inlineStr">
        <is>
          <t xml:space="preserve">  Processing Fees</t>
        </is>
      </c>
      <c r="B7" s="7" t="n">
        <v>-5460</v>
      </c>
      <c r="C7" s="10">
        <f>B7/B5</f>
        <v/>
      </c>
    </row>
    <row r="8">
      <c r="A8" s="23" t="inlineStr">
        <is>
          <t>Net to Owner</t>
        </is>
      </c>
      <c r="B8" s="24">
        <f>B5+B6+B7</f>
        <v/>
      </c>
      <c r="C8" s="63">
        <f>B8/B5</f>
        <v/>
      </c>
    </row>
    <row r="10">
      <c r="A10" s="64" t="inlineStr">
        <is>
          <t>Operating Expenses</t>
        </is>
      </c>
      <c r="B10" s="22" t="n"/>
      <c r="C10" s="22" t="n"/>
    </row>
    <row r="11">
      <c r="A11" s="6" t="inlineStr">
        <is>
          <t xml:space="preserve">  Cleaning</t>
        </is>
      </c>
      <c r="B11" s="7" t="n">
        <v>-82132</v>
      </c>
      <c r="C11" s="65">
        <f>B11/B5</f>
        <v/>
      </c>
    </row>
    <row r="12">
      <c r="A12" s="6" t="inlineStr">
        <is>
          <t xml:space="preserve">  Supplies, Maintenance, Other</t>
        </is>
      </c>
      <c r="B12" s="7" t="n">
        <v>-139909</v>
      </c>
      <c r="C12" s="65">
        <f>B12/B5</f>
        <v/>
      </c>
    </row>
    <row r="13">
      <c r="A13" s="6" t="inlineStr">
        <is>
          <t xml:space="preserve">  Management Fee (10% of Gross)</t>
        </is>
      </c>
      <c r="B13" s="7">
        <f>-0.10*B5</f>
        <v/>
      </c>
      <c r="C13" s="65">
        <f>B13/B5</f>
        <v/>
      </c>
    </row>
    <row r="14">
      <c r="A14" s="6" t="inlineStr">
        <is>
          <t xml:space="preserve">  Property Tax</t>
        </is>
      </c>
      <c r="B14" s="7" t="n">
        <v>-26679</v>
      </c>
      <c r="C14" s="65">
        <f>B14/B5</f>
        <v/>
      </c>
    </row>
    <row r="15">
      <c r="A15" s="6" t="inlineStr">
        <is>
          <t xml:space="preserve">  Insurance</t>
        </is>
      </c>
      <c r="B15" s="7" t="n">
        <v>-13500</v>
      </c>
      <c r="C15" s="65">
        <f>B15/B5</f>
        <v/>
      </c>
    </row>
    <row r="16">
      <c r="A16" s="6" t="inlineStr">
        <is>
          <t xml:space="preserve">  Other Fixed Costs (utilities, internet, etc.)</t>
        </is>
      </c>
      <c r="B16" s="7" t="n">
        <v>-24000</v>
      </c>
      <c r="C16" s="65">
        <f>B16/B5</f>
        <v/>
      </c>
    </row>
    <row r="17">
      <c r="A17" s="66" t="inlineStr">
        <is>
          <t>Total Operating Expenses</t>
        </is>
      </c>
      <c r="B17" s="67">
        <f>SUM(B11:B16)</f>
        <v/>
      </c>
      <c r="C17" s="68">
        <f>B17/B5</f>
        <v/>
      </c>
    </row>
    <row r="19">
      <c r="A19" s="27" t="inlineStr">
        <is>
          <t>Net Operating Income</t>
        </is>
      </c>
      <c r="B19" s="28">
        <f>B8+B17</f>
        <v/>
      </c>
      <c r="C19" s="69">
        <f>B19/B5</f>
        <v/>
      </c>
    </row>
    <row r="21">
      <c r="A21" s="4" t="inlineStr">
        <is>
          <t>RECONCILIATION CHECK</t>
        </is>
      </c>
      <c r="B21" s="5" t="n"/>
      <c r="C21" s="5" t="n"/>
    </row>
    <row r="22">
      <c r="A22" s="11" t="inlineStr">
        <is>
          <t>Expected NOI (from model)</t>
        </is>
      </c>
      <c r="B22" s="58" t="n">
        <v>330459</v>
      </c>
    </row>
    <row r="23">
      <c r="A23" s="11" t="inlineStr">
        <is>
          <t>Calculated NOI (this tab)</t>
        </is>
      </c>
      <c r="B23" s="58">
        <f>B19</f>
        <v/>
      </c>
    </row>
    <row r="24">
      <c r="A24" s="11" t="inlineStr">
        <is>
          <t>Variance</t>
        </is>
      </c>
      <c r="B24" s="58">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76385</v>
      </c>
    </row>
    <row r="31">
      <c r="A31" s="3" t="inlineStr">
        <is>
          <t xml:space="preserve">  Remitted to City of Santa Barbara (12% lodging tax)</t>
        </is>
      </c>
    </row>
    <row r="32">
      <c r="A32" s="6" t="inlineStr">
        <is>
          <t>Cleaning fees collected from guests</t>
        </is>
      </c>
      <c r="B32" s="70"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6</v>
      </c>
    </row>
    <row r="37">
      <c r="A37" s="6" t="inlineStr">
        <is>
          <t>Baseline ADR (de-seasonalized)</t>
        </is>
      </c>
      <c r="B37" s="7" t="n">
        <v>428</v>
      </c>
    </row>
    <row r="38">
      <c r="A38" s="6" t="inlineStr">
        <is>
          <t>Baseline Occupancy (de-seasonalized)</t>
        </is>
      </c>
      <c r="B38" s="10" t="n">
        <v>0.8420000000000001</v>
      </c>
    </row>
    <row r="39">
      <c r="A39" s="6" t="inlineStr">
        <is>
          <t>Max Occupancy Cap</t>
        </is>
      </c>
      <c r="B39" s="10" t="n">
        <v>0.92</v>
      </c>
    </row>
    <row r="40">
      <c r="A40" s="6" t="inlineStr">
        <is>
          <t>Back-test MAPE (Gross Revenue)</t>
        </is>
      </c>
      <c r="B40" s="10" t="n">
        <v>0.105</v>
      </c>
    </row>
    <row r="42">
      <c r="A42" s="4" t="inlineStr">
        <is>
          <t>METHODOLOGY</t>
        </is>
      </c>
      <c r="B42" s="5" t="n"/>
      <c r="C42" s="5" t="n"/>
    </row>
    <row r="43" ht="90" customHeight="1">
      <c r="A43" s="71"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2026-07-07T23:01:34Z</dcterms:created>
  <dcterms:modified xmlns:dcterms="http://purl.org/dc/terms/" xmlns:xsi="http://www.w3.org/2001/XMLSchema-instance" xsi:type="dcterms:W3CDTF">2026-07-07T23:01:34Z</dcterms:modified>
</cp:coreProperties>
</file>