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2026-07-20</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214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Jun 30, 2026</t>
        </is>
      </c>
      <c r="D14" s="6" t="inlineStr">
        <is>
          <t>Projection Basis</t>
        </is>
      </c>
      <c r="E14" s="6" t="inlineStr">
        <is>
          <t>6 months actuals + seasonal model</t>
        </is>
      </c>
    </row>
    <row r="15">
      <c r="A15" s="6" t="inlineStr">
        <is>
          <t>Rental Income</t>
        </is>
      </c>
      <c r="B15" s="7" t="n">
        <v>341945.84</v>
      </c>
      <c r="D15" s="6" t="inlineStr">
        <is>
          <t>Gross Revenue</t>
        </is>
      </c>
      <c r="E15" s="7" t="n">
        <v>793867</v>
      </c>
    </row>
    <row r="16">
      <c r="A16" s="6" t="inlineStr">
        <is>
          <t>Total Operating Expenses</t>
        </is>
      </c>
      <c r="B16" s="7" t="n">
        <v>159686.64</v>
      </c>
      <c r="D16" s="6" t="inlineStr">
        <is>
          <t>Net to Owner</t>
        </is>
      </c>
      <c r="E16" s="7" t="n">
        <v>700054</v>
      </c>
    </row>
    <row r="17">
      <c r="A17" s="8" t="inlineStr">
        <is>
          <t>Net Operating Income</t>
        </is>
      </c>
      <c r="B17" s="9" t="n">
        <v>182259.2</v>
      </c>
      <c r="D17" s="6" t="inlineStr">
        <is>
          <t>Total OpEx + Fixed</t>
        </is>
      </c>
      <c r="E17" s="7" t="n">
        <v>363084</v>
      </c>
    </row>
    <row r="18">
      <c r="D18" s="8" t="inlineStr">
        <is>
          <t>NOI (After Known Fixed)</t>
        </is>
      </c>
      <c r="E18" s="9" t="n">
        <v>336970</v>
      </c>
    </row>
    <row r="19">
      <c r="D19" s="6" t="inlineStr">
        <is>
          <t>Avg ADR (Blended)</t>
        </is>
      </c>
      <c r="E19" s="7" t="n">
        <v>445</v>
      </c>
    </row>
    <row r="20">
      <c r="D20" s="6" t="inlineStr">
        <is>
          <t>Avg Occupancy (Blended)</t>
        </is>
      </c>
      <c r="E20" s="10" t="n">
        <v>0.8079999999999999</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88.1% - efficient operations with low OTA commission rates</t>
        </is>
      </c>
    </row>
    <row r="28">
      <c r="A28" s="11" t="inlineStr">
        <is>
          <t>•  QBO YTD NOI of $182,259 through June 30 (6 months of operations, annualizes to ~$364,518)</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336970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67076</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6140</v>
      </c>
      <c r="C12" s="7" t="n">
        <v>912</v>
      </c>
      <c r="D12" s="7" t="n">
        <v>2213</v>
      </c>
      <c r="E12" s="7" t="n">
        <v>607</v>
      </c>
      <c r="F12" s="7" t="n">
        <v>1378</v>
      </c>
      <c r="G12" s="7" t="n">
        <v>4189</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402</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Jun 30): $341,946</t>
        </is>
      </c>
    </row>
    <row r="26">
      <c r="A26" s="3" t="inlineStr">
        <is>
          <t>QBO YTD Total Expenses: $159,687  |  QBO YTD NOI: $182,259</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BOOKED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61</v>
      </c>
      <c r="H6" s="37" t="n">
        <v>45</v>
      </c>
      <c r="I6" s="37" t="n">
        <v>66</v>
      </c>
      <c r="J6" s="37" t="n">
        <v>54</v>
      </c>
      <c r="K6" s="37" t="n">
        <v>53</v>
      </c>
      <c r="L6" s="37" t="n">
        <v>53</v>
      </c>
      <c r="M6" s="37" t="n">
        <v>58</v>
      </c>
      <c r="N6" s="38">
        <f>SUM(B6:M6)</f>
        <v/>
      </c>
    </row>
    <row r="7">
      <c r="A7" s="11" t="inlineStr">
        <is>
          <t>Nights Sold</t>
        </is>
      </c>
      <c r="B7" s="39" t="n">
        <v>140</v>
      </c>
      <c r="C7" s="39" t="n">
        <v>136</v>
      </c>
      <c r="D7" s="39" t="n">
        <v>164</v>
      </c>
      <c r="E7" s="39" t="n">
        <v>151</v>
      </c>
      <c r="F7" s="39" t="n">
        <v>169</v>
      </c>
      <c r="G7" s="39" t="n">
        <v>140</v>
      </c>
      <c r="H7" s="39" t="n">
        <v>154</v>
      </c>
      <c r="I7" s="39" t="n">
        <v>168</v>
      </c>
      <c r="J7" s="39" t="n">
        <v>136</v>
      </c>
      <c r="K7" s="39" t="n">
        <v>133</v>
      </c>
      <c r="L7" s="39" t="n">
        <v>133</v>
      </c>
      <c r="M7" s="39" t="n">
        <v>146</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0.778</v>
      </c>
      <c r="H9" s="41" t="n">
        <v>0.828</v>
      </c>
      <c r="I9" s="41" t="n">
        <v>0.9009999999999999</v>
      </c>
      <c r="J9" s="41" t="n">
        <v>0.758</v>
      </c>
      <c r="K9" s="41" t="n">
        <v>0.716</v>
      </c>
      <c r="L9" s="41" t="n">
        <v>0.741</v>
      </c>
      <c r="M9" s="41" t="n">
        <v>0.7829999999999999</v>
      </c>
      <c r="N9" s="42">
        <f>AVERAGE(B9:M9)</f>
        <v/>
      </c>
    </row>
    <row r="10">
      <c r="A10" s="36" t="inlineStr">
        <is>
          <t>ADR</t>
        </is>
      </c>
      <c r="B10" s="43" t="n">
        <v>286</v>
      </c>
      <c r="C10" s="43" t="n">
        <v>398</v>
      </c>
      <c r="D10" s="43" t="n">
        <v>415</v>
      </c>
      <c r="E10" s="43" t="n">
        <v>488</v>
      </c>
      <c r="F10" s="43" t="n">
        <v>472</v>
      </c>
      <c r="G10" s="43" t="n">
        <v>550</v>
      </c>
      <c r="H10" s="43" t="n">
        <v>636</v>
      </c>
      <c r="I10" s="43" t="n">
        <v>513</v>
      </c>
      <c r="J10" s="43" t="n">
        <v>407</v>
      </c>
      <c r="K10" s="43" t="n">
        <v>385</v>
      </c>
      <c r="L10" s="43" t="n">
        <v>385</v>
      </c>
      <c r="M10" s="43" t="n">
        <v>407</v>
      </c>
      <c r="N10" s="44">
        <f>SUM(B10:M10)</f>
        <v/>
      </c>
    </row>
    <row r="11">
      <c r="A11" s="11" t="inlineStr">
        <is>
          <t>RevPAR</t>
        </is>
      </c>
      <c r="B11" s="45" t="n">
        <v>215</v>
      </c>
      <c r="C11" s="45" t="n">
        <v>322</v>
      </c>
      <c r="D11" s="45" t="n">
        <v>366</v>
      </c>
      <c r="E11" s="45" t="n">
        <v>410</v>
      </c>
      <c r="F11" s="45" t="n">
        <v>428</v>
      </c>
      <c r="G11" s="45" t="n">
        <v>428</v>
      </c>
      <c r="H11" s="45" t="n">
        <v>526</v>
      </c>
      <c r="I11" s="45" t="n">
        <v>463</v>
      </c>
      <c r="J11" s="45" t="n">
        <v>308</v>
      </c>
      <c r="K11" s="45" t="n">
        <v>275</v>
      </c>
      <c r="L11" s="45" t="n">
        <v>284</v>
      </c>
      <c r="M11" s="45" t="n">
        <v>319</v>
      </c>
      <c r="N11" s="46">
        <f>SUM(B11:M11)</f>
        <v/>
      </c>
    </row>
    <row r="12">
      <c r="A12" s="21" t="inlineStr">
        <is>
          <t>Gross Revenue</t>
        </is>
      </c>
      <c r="B12" s="47" t="n">
        <v>40041</v>
      </c>
      <c r="C12" s="47" t="n">
        <v>54065</v>
      </c>
      <c r="D12" s="47" t="n">
        <v>68024</v>
      </c>
      <c r="E12" s="47" t="n">
        <v>73746</v>
      </c>
      <c r="F12" s="47" t="n">
        <v>79700</v>
      </c>
      <c r="G12" s="47" t="n">
        <v>77046</v>
      </c>
      <c r="H12" s="47" t="n">
        <v>97877</v>
      </c>
      <c r="I12" s="47" t="n">
        <v>86184</v>
      </c>
      <c r="J12" s="47" t="n">
        <v>55352</v>
      </c>
      <c r="K12" s="47" t="n">
        <v>51205</v>
      </c>
      <c r="L12" s="47" t="n">
        <v>51205</v>
      </c>
      <c r="M12" s="47" t="n">
        <v>59422</v>
      </c>
      <c r="N12" s="44">
        <f>SUM(B12:M12)</f>
        <v/>
      </c>
    </row>
    <row r="13">
      <c r="A13" s="31" t="inlineStr">
        <is>
          <t>Net to Owner</t>
        </is>
      </c>
      <c r="B13" s="48" t="n">
        <v>35785</v>
      </c>
      <c r="C13" s="48" t="n">
        <v>48880</v>
      </c>
      <c r="D13" s="48" t="n">
        <v>61256</v>
      </c>
      <c r="E13" s="48" t="n">
        <v>64778</v>
      </c>
      <c r="F13" s="48" t="n">
        <v>69654</v>
      </c>
      <c r="G13" s="48" t="n">
        <v>67076</v>
      </c>
      <c r="H13" s="48" t="n">
        <v>85227</v>
      </c>
      <c r="I13" s="48" t="n">
        <v>75965</v>
      </c>
      <c r="J13" s="48" t="n">
        <v>48789</v>
      </c>
      <c r="K13" s="48" t="n">
        <v>45134</v>
      </c>
      <c r="L13" s="48" t="n">
        <v>45134</v>
      </c>
      <c r="M13" s="48" t="n">
        <v>52376</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2026-07-20.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Jul</t>
        </is>
      </c>
      <c r="B5" s="50" t="n">
        <v>97877</v>
      </c>
      <c r="C5" s="51" t="n">
        <v>97877</v>
      </c>
      <c r="D5" s="52" t="n">
        <v>1</v>
      </c>
      <c r="E5" s="50" t="n">
        <v>636</v>
      </c>
      <c r="F5" s="50" t="n">
        <v>526</v>
      </c>
      <c r="G5" s="50" t="n">
        <v>0</v>
      </c>
      <c r="H5" s="53" t="inlineStr">
        <is>
          <t>Fully Booked</t>
        </is>
      </c>
    </row>
    <row r="6">
      <c r="A6" s="54" t="inlineStr">
        <is>
          <t>Aug</t>
        </is>
      </c>
      <c r="B6" s="55" t="n">
        <v>86184</v>
      </c>
      <c r="C6" s="56" t="n">
        <v>39273</v>
      </c>
      <c r="D6" s="57" t="n">
        <v>0.456</v>
      </c>
      <c r="E6" s="55" t="n">
        <v>595</v>
      </c>
      <c r="F6" s="55" t="n">
        <v>211</v>
      </c>
      <c r="G6" s="55" t="n">
        <v>46911</v>
      </c>
      <c r="H6" s="58" t="inlineStr">
        <is>
          <t>Building</t>
        </is>
      </c>
    </row>
    <row r="7">
      <c r="A7" s="54" t="inlineStr">
        <is>
          <t>Sep</t>
        </is>
      </c>
      <c r="B7" s="55" t="n">
        <v>55352</v>
      </c>
      <c r="C7" s="56" t="n">
        <v>23042</v>
      </c>
      <c r="D7" s="57" t="n">
        <v>0.416</v>
      </c>
      <c r="E7" s="55" t="n">
        <v>524</v>
      </c>
      <c r="F7" s="55" t="n">
        <v>128</v>
      </c>
      <c r="G7" s="55" t="n">
        <v>32310</v>
      </c>
      <c r="H7" s="58" t="inlineStr">
        <is>
          <t>Building</t>
        </is>
      </c>
    </row>
    <row r="8">
      <c r="A8" s="31" t="inlineStr">
        <is>
          <t>Oct</t>
        </is>
      </c>
      <c r="B8" s="59" t="n">
        <v>51205</v>
      </c>
      <c r="C8" s="46" t="n">
        <v>9175</v>
      </c>
      <c r="D8" s="42" t="n">
        <v>0.179</v>
      </c>
      <c r="E8" s="59" t="n">
        <v>540</v>
      </c>
      <c r="F8" s="59" t="n">
        <v>49</v>
      </c>
      <c r="G8" s="59" t="n">
        <v>42030</v>
      </c>
      <c r="H8" s="11" t="inlineStr">
        <is>
          <t>Early</t>
        </is>
      </c>
    </row>
    <row r="9">
      <c r="A9" s="31" t="inlineStr">
        <is>
          <t>Nov</t>
        </is>
      </c>
      <c r="B9" s="59" t="n">
        <v>51205</v>
      </c>
      <c r="C9" s="46" t="n">
        <v>5590</v>
      </c>
      <c r="D9" s="42" t="n">
        <v>0.109</v>
      </c>
      <c r="E9" s="59" t="n">
        <v>508</v>
      </c>
      <c r="F9" s="59" t="n">
        <v>31</v>
      </c>
      <c r="G9" s="59" t="n">
        <v>45615</v>
      </c>
      <c r="H9" s="11" t="inlineStr">
        <is>
          <t>Early</t>
        </is>
      </c>
    </row>
    <row r="10">
      <c r="A10" s="31" t="inlineStr">
        <is>
          <t>Dec</t>
        </is>
      </c>
      <c r="B10" s="59" t="n">
        <v>59422</v>
      </c>
      <c r="C10" s="46" t="n">
        <v>5384</v>
      </c>
      <c r="D10" s="42" t="n">
        <v>0.091</v>
      </c>
      <c r="E10" s="59" t="n">
        <v>336</v>
      </c>
      <c r="F10" s="59" t="n">
        <v>29</v>
      </c>
      <c r="G10" s="59" t="n">
        <v>54038</v>
      </c>
      <c r="H10" s="11" t="inlineStr">
        <is>
          <t>Early</t>
        </is>
      </c>
    </row>
    <row r="11">
      <c r="A11" s="60" t="inlineStr">
        <is>
          <t>TOTAL</t>
        </is>
      </c>
      <c r="B11" s="61">
        <f>SUM(B5:B10)</f>
        <v/>
      </c>
      <c r="C11" s="61">
        <f>SUM(C5:C10)</f>
        <v/>
      </c>
      <c r="D11" s="62">
        <f>C11/B11</f>
        <v/>
      </c>
      <c r="E11" s="63" t="n"/>
      <c r="F11" s="63" t="n"/>
      <c r="G11" s="61">
        <f>B11-C11</f>
        <v/>
      </c>
      <c r="H11"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793867</v>
      </c>
      <c r="C5" s="17" t="n">
        <v>1</v>
      </c>
    </row>
    <row r="6">
      <c r="A6" s="6" t="inlineStr">
        <is>
          <t xml:space="preserve">  OTA Commissions</t>
        </is>
      </c>
      <c r="B6" s="7" t="n">
        <v>-88295</v>
      </c>
      <c r="C6" s="10">
        <f>B6/B5</f>
        <v/>
      </c>
    </row>
    <row r="7">
      <c r="A7" s="6" t="inlineStr">
        <is>
          <t xml:space="preserve">  Processing Fees</t>
        </is>
      </c>
      <c r="B7" s="7" t="n">
        <v>-5518</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-79609</v>
      </c>
      <c r="C11" s="66">
        <f>B11/B5</f>
        <v/>
      </c>
    </row>
    <row r="12">
      <c r="A12" s="6" t="inlineStr">
        <is>
          <t xml:space="preserve">  Supplies, Maintenance, Other</t>
        </is>
      </c>
      <c r="B12" s="7" t="n">
        <v>-139909</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336970</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77005</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2026-07-20T15:14:24Z</dcterms:created>
  <dcterms:modified xmlns:dcterms="http://purl.org/dc/terms/" xmlns:xsi="http://www.w3.org/2001/XMLSchema-instance" xsi:type="dcterms:W3CDTF">2026-07-20T15:14:24Z</dcterms:modified>
</cp:coreProperties>
</file>