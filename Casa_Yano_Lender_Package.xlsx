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QBO 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5">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
      <patternFill patternType="solid">
        <fgColor rgb="00F5ECD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6" fillId="3" borderId="0" pivotButton="0" quotePrefix="0" xfId="0"/>
    <xf numFmtId="0" fontId="0" fillId="3" borderId="0" pivotButton="0" quotePrefix="0" xfId="0"/>
    <xf numFmtId="0" fontId="6" fillId="0" borderId="0" pivotButton="0" quotePrefix="0" xfId="0"/>
    <xf numFmtId="0" fontId="12" fillId="0" borderId="1" pivotButton="0" quotePrefix="0" xfId="0"/>
    <xf numFmtId="164" fontId="12" fillId="0" borderId="1" pivotButton="0" quotePrefix="0" xfId="0"/>
    <xf numFmtId="0" fontId="13" fillId="4" borderId="0" pivotButton="0" quotePrefix="0" xfId="0"/>
    <xf numFmtId="164" fontId="13" fillId="4" borderId="0" pivotButton="0" quotePrefix="0" xfId="0"/>
    <xf numFmtId="0" fontId="14" fillId="5" borderId="0" applyAlignment="1" pivotButton="0" quotePrefix="0" xfId="0">
      <alignment horizontal="center"/>
    </xf>
    <xf numFmtId="0" fontId="14" fillId="6" borderId="0" applyAlignment="1" pivotButton="0" quotePrefix="0" xfId="0">
      <alignment horizontal="center"/>
    </xf>
    <xf numFmtId="0" fontId="14" fillId="7"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4" borderId="0" pivotButton="0" quotePrefix="0" xfId="0"/>
    <xf numFmtId="164" fontId="5" fillId="4" borderId="0" pivotButton="0" quotePrefix="0" xfId="0"/>
    <xf numFmtId="164" fontId="6" fillId="4" borderId="0" pivotButton="0" quotePrefix="0" xfId="0"/>
    <xf numFmtId="165" fontId="6" fillId="4" borderId="0" pivotButton="0" quotePrefix="0" xfId="0"/>
    <xf numFmtId="0" fontId="5" fillId="4" borderId="0" pivotButton="0" quotePrefix="0" xfId="0"/>
    <xf numFmtId="0" fontId="6" fillId="8" borderId="0" pivotButton="0" quotePrefix="0" xfId="0"/>
    <xf numFmtId="164" fontId="5" fillId="8" borderId="0" pivotButton="0" quotePrefix="0" xfId="0"/>
    <xf numFmtId="164" fontId="6" fillId="8" borderId="0" pivotButton="0" quotePrefix="0" xfId="0"/>
    <xf numFmtId="165" fontId="6" fillId="8" borderId="0" pivotButton="0" quotePrefix="0" xfId="0"/>
    <xf numFmtId="0" fontId="5" fillId="8"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0" fontId="0" fillId="0" borderId="2" pivotButton="0" quotePrefix="0" xfId="0"/>
    <xf numFmtId="0" fontId="6" fillId="9" borderId="2" pivotButton="0" quotePrefix="0" xfId="0"/>
    <xf numFmtId="164" fontId="6" fillId="9" borderId="2" pivotButton="0" quotePrefix="0" xfId="0"/>
    <xf numFmtId="165" fontId="6" fillId="9" borderId="2" pivotButton="0" quotePrefix="0" xfId="0"/>
    <xf numFmtId="0" fontId="6" fillId="4" borderId="2" pivotButton="0" quotePrefix="0" xfId="0"/>
    <xf numFmtId="164" fontId="6" fillId="4" borderId="2" pivotButton="0" quotePrefix="0" xfId="0"/>
    <xf numFmtId="165" fontId="6" fillId="4" borderId="2"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2026-04-14</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117</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3 months actuals + seasonal model</t>
        </is>
      </c>
    </row>
    <row r="15">
      <c r="A15" s="6" t="inlineStr">
        <is>
          <t>Rental Income</t>
        </is>
      </c>
      <c r="B15" s="7" t="n">
        <v>170225.3</v>
      </c>
      <c r="D15" s="6" t="inlineStr">
        <is>
          <t>Gross Revenue</t>
        </is>
      </c>
      <c r="E15" s="7" t="n">
        <v>762108</v>
      </c>
    </row>
    <row r="16">
      <c r="A16" s="6" t="inlineStr">
        <is>
          <t>Total Operating Expenses</t>
        </is>
      </c>
      <c r="B16" s="7" t="n">
        <v>89337.99000000001</v>
      </c>
      <c r="D16" s="6" t="inlineStr">
        <is>
          <t>Net to Owner</t>
        </is>
      </c>
      <c r="E16" s="7" t="n">
        <v>676763</v>
      </c>
    </row>
    <row r="17">
      <c r="A17" s="8" t="inlineStr">
        <is>
          <t>Net Operating Income</t>
        </is>
      </c>
      <c r="B17" s="9" t="n">
        <v>80887.31</v>
      </c>
      <c r="D17" s="6" t="inlineStr">
        <is>
          <t>Total OpEx + Fixed</t>
        </is>
      </c>
      <c r="E17" s="7" t="n">
        <v>335018</v>
      </c>
    </row>
    <row r="18">
      <c r="D18" s="8" t="inlineStr">
        <is>
          <t>NOI (After Known Fixed)</t>
        </is>
      </c>
      <c r="E18" s="9" t="n">
        <v>341745</v>
      </c>
    </row>
    <row r="19">
      <c r="D19" s="6" t="inlineStr">
        <is>
          <t>Avg ADR (Blended)</t>
        </is>
      </c>
      <c r="E19" s="7" t="n">
        <v>418</v>
      </c>
    </row>
    <row r="20">
      <c r="D20" s="6" t="inlineStr">
        <is>
          <t>Avg Occupancy (Blended)</t>
        </is>
      </c>
      <c r="E20" s="10" t="n">
        <v>0.825</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$72,871 gross — highest month to date</t>
        </is>
      </c>
    </row>
    <row r="27">
      <c r="A27" s="11" t="inlineStr">
        <is>
          <t>•  Owner margin of 88.7%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341745</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C39"/>
  <sheetViews>
    <sheetView workbookViewId="0">
      <pane ySplit="4" topLeftCell="A5" activePane="bottomLeft" state="frozen"/>
      <selection pane="bottomLeft" activeCell="A1" sqref="A1"/>
    </sheetView>
  </sheetViews>
  <sheetFormatPr baseColWidth="8" defaultRowHeight="15"/>
  <cols>
    <col width="36" customWidth="1" min="1" max="1"/>
    <col width="18" customWidth="1" min="2" max="2"/>
    <col width="18" customWidth="1" min="3" max="3"/>
  </cols>
  <sheetData>
    <row r="1">
      <c r="A1" s="18" t="inlineStr">
        <is>
          <t>DCP Wealth Fund, LLC — Yanonali</t>
        </is>
      </c>
    </row>
    <row r="2">
      <c r="A2" s="2" t="inlineStr">
        <is>
          <t>Profit and Loss: January 1 – April 14, 2026  |  Cash Basis</t>
        </is>
      </c>
    </row>
    <row r="3">
      <c r="A3" s="3" t="inlineStr">
        <is>
          <t>Source: QuickBooks Online, exported April 14, 2026</t>
        </is>
      </c>
    </row>
    <row r="5">
      <c r="A5" s="19" t="inlineStr"/>
      <c r="B5" s="19" t="inlineStr">
        <is>
          <t>Amount</t>
        </is>
      </c>
    </row>
    <row r="6">
      <c r="A6" s="20" t="inlineStr">
        <is>
          <t>INCOME</t>
        </is>
      </c>
      <c r="B6" s="21" t="n"/>
    </row>
    <row r="7">
      <c r="A7" s="8" t="inlineStr">
        <is>
          <t>Rent</t>
        </is>
      </c>
      <c r="B7" s="9" t="n">
        <v>170225.3</v>
      </c>
    </row>
    <row r="8">
      <c r="A8" s="8" t="inlineStr">
        <is>
          <t>Gross Profit</t>
        </is>
      </c>
      <c r="B8" s="9" t="n">
        <v>170225.3</v>
      </c>
    </row>
    <row r="10">
      <c r="A10" s="20" t="inlineStr">
        <is>
          <t>EXPENSES</t>
        </is>
      </c>
      <c r="B10" s="21" t="n"/>
    </row>
    <row r="11">
      <c r="A11" s="6" t="inlineStr">
        <is>
          <t>Advertising &amp; Marketing</t>
        </is>
      </c>
      <c r="B11" s="7" t="n">
        <v>2410</v>
      </c>
    </row>
    <row r="12">
      <c r="A12" s="6" t="inlineStr">
        <is>
          <t>Commissions Expense</t>
        </is>
      </c>
      <c r="B12" s="7" t="n">
        <v>434.95</v>
      </c>
    </row>
    <row r="13">
      <c r="A13" s="6" t="inlineStr">
        <is>
          <t>Guest Relations</t>
        </is>
      </c>
      <c r="B13" s="7" t="n">
        <v>539.5</v>
      </c>
    </row>
    <row r="14">
      <c r="A14" s="6" t="inlineStr">
        <is>
          <t>Hospitality Management Fee</t>
        </is>
      </c>
      <c r="B14" s="7" t="n">
        <v>17365.29</v>
      </c>
    </row>
    <row r="15">
      <c r="A15" s="6" t="inlineStr">
        <is>
          <t>Landscaping</t>
        </is>
      </c>
      <c r="B15" s="7" t="n">
        <v>450</v>
      </c>
    </row>
    <row r="16">
      <c r="A16" s="22" t="inlineStr">
        <is>
          <t>Repairs &amp; Maintenance</t>
        </is>
      </c>
    </row>
    <row r="17">
      <c r="A17" s="6" t="inlineStr">
        <is>
          <t xml:space="preserve">  Cleaning Expenses</t>
        </is>
      </c>
      <c r="B17" s="7" t="n">
        <v>23141.28</v>
      </c>
    </row>
    <row r="18">
      <c r="A18" s="6" t="inlineStr">
        <is>
          <t xml:space="preserve">  Fire Safety</t>
        </is>
      </c>
      <c r="B18" s="7" t="n">
        <v>450</v>
      </c>
    </row>
    <row r="19">
      <c r="A19" s="6" t="inlineStr">
        <is>
          <t xml:space="preserve">  General Repairs</t>
        </is>
      </c>
      <c r="B19" s="7" t="n">
        <v>1887</v>
      </c>
    </row>
    <row r="20">
      <c r="A20" s="6" t="inlineStr">
        <is>
          <t xml:space="preserve">  Pest Control</t>
        </is>
      </c>
      <c r="B20" s="7" t="n">
        <v>210</v>
      </c>
    </row>
    <row r="21">
      <c r="A21" s="8" t="inlineStr">
        <is>
          <t xml:space="preserve">  Total Repairs &amp; Maintenance</t>
        </is>
      </c>
      <c r="B21" s="9" t="n">
        <v>25688.28</v>
      </c>
    </row>
    <row r="22">
      <c r="A22" s="22" t="inlineStr">
        <is>
          <t>Supplies</t>
        </is>
      </c>
    </row>
    <row r="23">
      <c r="A23" s="6" t="inlineStr">
        <is>
          <t xml:space="preserve">  Supplies</t>
        </is>
      </c>
      <c r="B23" s="7" t="n">
        <v>6140.12</v>
      </c>
    </row>
    <row r="24">
      <c r="A24" s="6" t="inlineStr">
        <is>
          <t xml:space="preserve">  Supplies &amp; Materials</t>
        </is>
      </c>
      <c r="B24" s="7" t="n">
        <v>3337.59</v>
      </c>
    </row>
    <row r="25">
      <c r="A25" s="8" t="inlineStr">
        <is>
          <t xml:space="preserve">  Total Supplies</t>
        </is>
      </c>
      <c r="B25" s="9" t="n">
        <v>9477.709999999999</v>
      </c>
    </row>
    <row r="26">
      <c r="A26" s="22" t="inlineStr">
        <is>
          <t>Taxes Paid</t>
        </is>
      </c>
    </row>
    <row r="27">
      <c r="A27" s="6" t="inlineStr">
        <is>
          <t xml:space="preserve">  City &amp; County Tax</t>
        </is>
      </c>
      <c r="B27" s="7" t="n">
        <v>15798.09</v>
      </c>
    </row>
    <row r="28">
      <c r="A28" s="6" t="inlineStr">
        <is>
          <t xml:space="preserve">  Property Taxes</t>
        </is>
      </c>
      <c r="B28" s="7" t="n">
        <v>13339.62</v>
      </c>
    </row>
    <row r="29">
      <c r="A29" s="6" t="inlineStr">
        <is>
          <t xml:space="preserve">  State Tax</t>
        </is>
      </c>
      <c r="B29" s="7" t="n">
        <v>1612.76</v>
      </c>
    </row>
    <row r="30">
      <c r="A30" s="8" t="inlineStr">
        <is>
          <t xml:space="preserve">  Total Taxes Paid</t>
        </is>
      </c>
      <c r="B30" s="9" t="n">
        <v>30750.47</v>
      </c>
    </row>
    <row r="31">
      <c r="A31" s="22" t="inlineStr">
        <is>
          <t>Utilities</t>
        </is>
      </c>
    </row>
    <row r="32">
      <c r="A32" s="6" t="inlineStr">
        <is>
          <t xml:space="preserve">  Disposal &amp; Waste</t>
        </is>
      </c>
      <c r="B32" s="7" t="n">
        <v>50</v>
      </c>
    </row>
    <row r="33">
      <c r="A33" s="6" t="inlineStr">
        <is>
          <t xml:space="preserve">  Electricity</t>
        </is>
      </c>
      <c r="B33" s="7" t="n">
        <v>564.3</v>
      </c>
    </row>
    <row r="34">
      <c r="A34" s="6" t="inlineStr">
        <is>
          <t xml:space="preserve">  Internet &amp; TV</t>
        </is>
      </c>
      <c r="B34" s="7" t="n">
        <v>1163.25</v>
      </c>
    </row>
    <row r="35">
      <c r="A35" s="6" t="inlineStr">
        <is>
          <t xml:space="preserve">  Water &amp; Sewer</t>
        </is>
      </c>
      <c r="B35" s="7" t="n">
        <v>444.24</v>
      </c>
    </row>
    <row r="36">
      <c r="A36" s="8" t="inlineStr">
        <is>
          <t xml:space="preserve">  Total Utilities</t>
        </is>
      </c>
      <c r="B36" s="9" t="n">
        <v>2221.79</v>
      </c>
    </row>
    <row r="37">
      <c r="A37" s="23" t="inlineStr">
        <is>
          <t>Total Expenses</t>
        </is>
      </c>
      <c r="B37" s="24" t="n">
        <v>89337.99000000001</v>
      </c>
    </row>
    <row r="39">
      <c r="A39" s="25" t="inlineStr">
        <is>
          <t>Net Operating Income</t>
        </is>
      </c>
      <c r="B39" s="26" t="n">
        <v>80887.31</v>
      </c>
    </row>
  </sheetData>
  <mergeCells count="3">
    <mergeCell ref="A1:C1"/>
    <mergeCell ref="A3:C3"/>
    <mergeCell ref="A2:C2"/>
  </mergeCells>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22" t="inlineStr">
        <is>
          <t>Status</t>
        </is>
      </c>
      <c r="B4" s="27" t="inlineStr">
        <is>
          <t>ACTUAL</t>
        </is>
      </c>
      <c r="C4" s="27" t="inlineStr">
        <is>
          <t>ACTUAL</t>
        </is>
      </c>
      <c r="D4" s="27" t="inlineStr">
        <is>
          <t>ACTUAL</t>
        </is>
      </c>
      <c r="E4" s="28" t="inlineStr">
        <is>
          <t>BOOKED</t>
        </is>
      </c>
      <c r="F4" s="29" t="inlineStr">
        <is>
          <t>PROJECTED</t>
        </is>
      </c>
      <c r="G4" s="29" t="inlineStr">
        <is>
          <t>PROJECTED</t>
        </is>
      </c>
      <c r="H4" s="29" t="inlineStr">
        <is>
          <t>PROJECTED</t>
        </is>
      </c>
      <c r="I4" s="29" t="inlineStr">
        <is>
          <t>PROJECTED</t>
        </is>
      </c>
      <c r="J4" s="29" t="inlineStr">
        <is>
          <t>PROJECTED</t>
        </is>
      </c>
      <c r="K4" s="29" t="inlineStr">
        <is>
          <t>PROJECTED</t>
        </is>
      </c>
      <c r="L4" s="29" t="inlineStr">
        <is>
          <t>PROJECTED</t>
        </is>
      </c>
      <c r="M4" s="29" t="inlineStr">
        <is>
          <t>PROJECTED</t>
        </is>
      </c>
    </row>
    <row r="5">
      <c r="A5" s="30"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1" t="inlineStr">
        <is>
          <t>Bookings</t>
        </is>
      </c>
      <c r="B6" s="32" t="n">
        <v>56</v>
      </c>
      <c r="C6" s="32" t="n">
        <v>55</v>
      </c>
      <c r="D6" s="32" t="n">
        <v>60</v>
      </c>
      <c r="E6" s="32" t="n">
        <v>67</v>
      </c>
      <c r="F6" s="32" t="n">
        <v>61</v>
      </c>
      <c r="G6" s="32" t="n">
        <v>63</v>
      </c>
      <c r="H6" s="32" t="n">
        <v>65</v>
      </c>
      <c r="I6" s="32" t="n">
        <v>65</v>
      </c>
      <c r="J6" s="32" t="n">
        <v>53</v>
      </c>
      <c r="K6" s="32" t="n">
        <v>52</v>
      </c>
      <c r="L6" s="32" t="n">
        <v>52</v>
      </c>
      <c r="M6" s="32" t="n">
        <v>56</v>
      </c>
      <c r="N6" s="33">
        <f>SUM(B6:M6)</f>
        <v/>
      </c>
    </row>
    <row r="7">
      <c r="A7" s="11" t="inlineStr">
        <is>
          <t>Nights Sold</t>
        </is>
      </c>
      <c r="B7" s="34" t="n">
        <v>140</v>
      </c>
      <c r="C7" s="34" t="n">
        <v>136</v>
      </c>
      <c r="D7" s="34" t="n">
        <v>164</v>
      </c>
      <c r="E7" s="34" t="n">
        <v>149</v>
      </c>
      <c r="F7" s="34" t="n">
        <v>158</v>
      </c>
      <c r="G7" s="34" t="n">
        <v>164</v>
      </c>
      <c r="H7" s="34" t="n">
        <v>171</v>
      </c>
      <c r="I7" s="34" t="n">
        <v>169</v>
      </c>
      <c r="J7" s="34" t="n">
        <v>138</v>
      </c>
      <c r="K7" s="34" t="n">
        <v>135</v>
      </c>
      <c r="L7" s="34" t="n">
        <v>135</v>
      </c>
      <c r="M7" s="34" t="n">
        <v>147</v>
      </c>
      <c r="N7" s="35">
        <f>SUM(B7:M7)</f>
        <v/>
      </c>
    </row>
    <row r="8">
      <c r="A8" s="31" t="inlineStr">
        <is>
          <t>Available Nights</t>
        </is>
      </c>
      <c r="B8" s="32" t="n">
        <v>186</v>
      </c>
      <c r="C8" s="32" t="n">
        <v>168</v>
      </c>
      <c r="D8" s="32" t="n">
        <v>186</v>
      </c>
      <c r="E8" s="32" t="n">
        <v>180</v>
      </c>
      <c r="F8" s="32" t="n">
        <v>186</v>
      </c>
      <c r="G8" s="32" t="n">
        <v>180</v>
      </c>
      <c r="H8" s="32" t="n">
        <v>186</v>
      </c>
      <c r="I8" s="32" t="n">
        <v>186</v>
      </c>
      <c r="J8" s="32" t="n">
        <v>180</v>
      </c>
      <c r="K8" s="32" t="n">
        <v>186</v>
      </c>
      <c r="L8" s="32" t="n">
        <v>180</v>
      </c>
      <c r="M8" s="32" t="n">
        <v>186</v>
      </c>
      <c r="N8" s="33">
        <f>SUM(B8:M8)</f>
        <v/>
      </c>
    </row>
    <row r="9">
      <c r="A9" s="11" t="inlineStr">
        <is>
          <t>Occupancy</t>
        </is>
      </c>
      <c r="B9" s="36" t="n">
        <v>0.753</v>
      </c>
      <c r="C9" s="36" t="n">
        <v>0.8100000000000001</v>
      </c>
      <c r="D9" s="36" t="n">
        <v>0.882</v>
      </c>
      <c r="E9" s="36" t="n">
        <v>0.828</v>
      </c>
      <c r="F9" s="36" t="n">
        <v>0.851</v>
      </c>
      <c r="G9" s="36" t="n">
        <v>0.9109999999999999</v>
      </c>
      <c r="H9" s="36" t="n">
        <v>0.92</v>
      </c>
      <c r="I9" s="36" t="n">
        <v>0.9109999999999999</v>
      </c>
      <c r="J9" s="36" t="n">
        <v>0.7659999999999999</v>
      </c>
      <c r="K9" s="36" t="n">
        <v>0.7240000000000001</v>
      </c>
      <c r="L9" s="36" t="n">
        <v>0.7490000000000001</v>
      </c>
      <c r="M9" s="36" t="n">
        <v>0.792</v>
      </c>
      <c r="N9" s="37">
        <f>AVERAGE(B9:M9)</f>
        <v/>
      </c>
    </row>
    <row r="10">
      <c r="A10" s="31" t="inlineStr">
        <is>
          <t>ADR</t>
        </is>
      </c>
      <c r="B10" s="38" t="n">
        <v>286</v>
      </c>
      <c r="C10" s="38" t="n">
        <v>398</v>
      </c>
      <c r="D10" s="38" t="n">
        <v>415</v>
      </c>
      <c r="E10" s="38" t="n">
        <v>489</v>
      </c>
      <c r="F10" s="38" t="n">
        <v>446</v>
      </c>
      <c r="G10" s="38" t="n">
        <v>486</v>
      </c>
      <c r="H10" s="38" t="n">
        <v>506</v>
      </c>
      <c r="I10" s="38" t="n">
        <v>486</v>
      </c>
      <c r="J10" s="38" t="n">
        <v>385</v>
      </c>
      <c r="K10" s="38" t="n">
        <v>365</v>
      </c>
      <c r="L10" s="38" t="n">
        <v>365</v>
      </c>
      <c r="M10" s="38" t="n">
        <v>385</v>
      </c>
      <c r="N10" s="39">
        <f>SUM(B10:M10)</f>
        <v/>
      </c>
    </row>
    <row r="11">
      <c r="A11" s="11" t="inlineStr">
        <is>
          <t>RevPAR</t>
        </is>
      </c>
      <c r="B11" s="40" t="n">
        <v>215</v>
      </c>
      <c r="C11" s="40" t="n">
        <v>322</v>
      </c>
      <c r="D11" s="40" t="n">
        <v>366</v>
      </c>
      <c r="E11" s="40" t="n">
        <v>405</v>
      </c>
      <c r="F11" s="40" t="n">
        <v>379</v>
      </c>
      <c r="G11" s="40" t="n">
        <v>443</v>
      </c>
      <c r="H11" s="40" t="n">
        <v>465</v>
      </c>
      <c r="I11" s="40" t="n">
        <v>442</v>
      </c>
      <c r="J11" s="40" t="n">
        <v>295</v>
      </c>
      <c r="K11" s="40" t="n">
        <v>265</v>
      </c>
      <c r="L11" s="40" t="n">
        <v>274</v>
      </c>
      <c r="M11" s="40" t="n">
        <v>304</v>
      </c>
      <c r="N11" s="41">
        <f>SUM(B11:M11)</f>
        <v/>
      </c>
    </row>
    <row r="12">
      <c r="A12" s="20" t="inlineStr">
        <is>
          <t>Gross Revenue</t>
        </is>
      </c>
      <c r="B12" s="42" t="n">
        <v>40041</v>
      </c>
      <c r="C12" s="42" t="n">
        <v>54065</v>
      </c>
      <c r="D12" s="42" t="n">
        <v>68024</v>
      </c>
      <c r="E12" s="42" t="n">
        <v>72871</v>
      </c>
      <c r="F12" s="42" t="n">
        <v>70468</v>
      </c>
      <c r="G12" s="42" t="n">
        <v>79704</v>
      </c>
      <c r="H12" s="42" t="n">
        <v>86526</v>
      </c>
      <c r="I12" s="42" t="n">
        <v>82134</v>
      </c>
      <c r="J12" s="42" t="n">
        <v>53130</v>
      </c>
      <c r="K12" s="42" t="n">
        <v>49275</v>
      </c>
      <c r="L12" s="42" t="n">
        <v>49275</v>
      </c>
      <c r="M12" s="42" t="n">
        <v>56595</v>
      </c>
      <c r="N12" s="39">
        <f>SUM(B12:M12)</f>
        <v/>
      </c>
    </row>
    <row r="13">
      <c r="A13" s="22" t="inlineStr">
        <is>
          <t>Net to Owner</t>
        </is>
      </c>
      <c r="B13" s="43" t="n">
        <v>35785</v>
      </c>
      <c r="C13" s="43" t="n">
        <v>48880</v>
      </c>
      <c r="D13" s="43" t="n">
        <v>61256</v>
      </c>
      <c r="E13" s="43" t="n">
        <v>63447</v>
      </c>
      <c r="F13" s="43" t="n">
        <v>62485</v>
      </c>
      <c r="G13" s="43" t="n">
        <v>70675</v>
      </c>
      <c r="H13" s="43" t="n">
        <v>76724</v>
      </c>
      <c r="I13" s="43" t="n">
        <v>72830</v>
      </c>
      <c r="J13" s="43" t="n">
        <v>47111</v>
      </c>
      <c r="K13" s="43" t="n">
        <v>43693</v>
      </c>
      <c r="L13" s="43" t="n">
        <v>43693</v>
      </c>
      <c r="M13" s="43" t="n">
        <v>50184</v>
      </c>
      <c r="N13" s="41">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8" customWidth="1" min="5" max="5"/>
    <col width="18" customWidth="1" min="6" max="6"/>
  </cols>
  <sheetData>
    <row r="1">
      <c r="A1" s="18" t="inlineStr">
        <is>
          <t>Casa Yano — Forward Bookings on the Books</t>
        </is>
      </c>
    </row>
    <row r="2">
      <c r="A2" s="3" t="inlineStr">
        <is>
          <t>As of 2026-04-14. Confirmed reservations with deposits received.</t>
        </is>
      </c>
    </row>
    <row r="4">
      <c r="A4" s="19" t="inlineStr">
        <is>
          <t>Month</t>
        </is>
      </c>
      <c r="B4" s="19" t="inlineStr">
        <is>
          <t>PF Target</t>
        </is>
      </c>
      <c r="C4" s="19" t="inlineStr">
        <is>
          <t>Booked Revenue</t>
        </is>
      </c>
      <c r="D4" s="19" t="inlineStr">
        <is>
          <t>% of Target</t>
        </is>
      </c>
      <c r="E4" s="19" t="inlineStr">
        <is>
          <t>Remaining</t>
        </is>
      </c>
      <c r="F4" s="19" t="inlineStr">
        <is>
          <t>Status</t>
        </is>
      </c>
    </row>
    <row r="5">
      <c r="A5" s="44" t="inlineStr">
        <is>
          <t>Apr</t>
        </is>
      </c>
      <c r="B5" s="45" t="n">
        <v>72871</v>
      </c>
      <c r="C5" s="46" t="n">
        <v>72871</v>
      </c>
      <c r="D5" s="47" t="n">
        <v>1</v>
      </c>
      <c r="E5" s="45" t="n">
        <v>0</v>
      </c>
      <c r="F5" s="48" t="inlineStr">
        <is>
          <t>Fully Booked</t>
        </is>
      </c>
    </row>
    <row r="6">
      <c r="A6" s="44" t="inlineStr">
        <is>
          <t>May</t>
        </is>
      </c>
      <c r="B6" s="45" t="n">
        <v>70468</v>
      </c>
      <c r="C6" s="46" t="n">
        <v>51416</v>
      </c>
      <c r="D6" s="47" t="n">
        <v>0.73</v>
      </c>
      <c r="E6" s="45" t="n">
        <v>19052</v>
      </c>
      <c r="F6" s="48" t="inlineStr">
        <is>
          <t>Strong</t>
        </is>
      </c>
    </row>
    <row r="7">
      <c r="A7" s="49" t="inlineStr">
        <is>
          <t>Jun</t>
        </is>
      </c>
      <c r="B7" s="50" t="n">
        <v>79704</v>
      </c>
      <c r="C7" s="51" t="n">
        <v>35242</v>
      </c>
      <c r="D7" s="52" t="n">
        <v>0.442</v>
      </c>
      <c r="E7" s="50" t="n">
        <v>44462</v>
      </c>
      <c r="F7" s="53" t="inlineStr">
        <is>
          <t>Building</t>
        </is>
      </c>
    </row>
    <row r="8">
      <c r="A8" s="22" t="inlineStr">
        <is>
          <t>Jul</t>
        </is>
      </c>
      <c r="B8" s="54" t="n">
        <v>86526</v>
      </c>
      <c r="C8" s="41" t="n">
        <v>16926</v>
      </c>
      <c r="D8" s="37" t="n">
        <v>0.196</v>
      </c>
      <c r="E8" s="54" t="n">
        <v>69600</v>
      </c>
      <c r="F8" s="11" t="inlineStr">
        <is>
          <t>Early</t>
        </is>
      </c>
    </row>
    <row r="9">
      <c r="A9" s="22" t="inlineStr">
        <is>
          <t>Aug</t>
        </is>
      </c>
      <c r="B9" s="54" t="n">
        <v>82134</v>
      </c>
      <c r="C9" s="41" t="n">
        <v>5324</v>
      </c>
      <c r="D9" s="37" t="n">
        <v>0.065</v>
      </c>
      <c r="E9" s="54" t="n">
        <v>76810</v>
      </c>
      <c r="F9" s="11" t="inlineStr">
        <is>
          <t>Early</t>
        </is>
      </c>
    </row>
    <row r="10">
      <c r="A10" s="49" t="inlineStr">
        <is>
          <t>Sep</t>
        </is>
      </c>
      <c r="B10" s="50" t="n">
        <v>53130</v>
      </c>
      <c r="C10" s="51" t="n">
        <v>15604</v>
      </c>
      <c r="D10" s="52" t="n">
        <v>0.294</v>
      </c>
      <c r="E10" s="50" t="n">
        <v>37526</v>
      </c>
      <c r="F10" s="53" t="inlineStr">
        <is>
          <t>Building</t>
        </is>
      </c>
    </row>
    <row r="11">
      <c r="A11" s="22" t="inlineStr">
        <is>
          <t>Oct</t>
        </is>
      </c>
      <c r="B11" s="54" t="n">
        <v>49275</v>
      </c>
      <c r="C11" s="41" t="n">
        <v>8513</v>
      </c>
      <c r="D11" s="37" t="n">
        <v>0.173</v>
      </c>
      <c r="E11" s="54" t="n">
        <v>40762</v>
      </c>
      <c r="F11" s="11" t="inlineStr">
        <is>
          <t>Early</t>
        </is>
      </c>
    </row>
    <row r="12">
      <c r="A12" s="22" t="inlineStr">
        <is>
          <t>Nov</t>
        </is>
      </c>
      <c r="B12" s="54" t="n">
        <v>49275</v>
      </c>
      <c r="C12" s="41" t="n">
        <v>2251</v>
      </c>
      <c r="D12" s="37" t="n">
        <v>0.046</v>
      </c>
      <c r="E12" s="54" t="n">
        <v>47024</v>
      </c>
      <c r="F12" s="11" t="inlineStr">
        <is>
          <t>Early</t>
        </is>
      </c>
    </row>
    <row r="13">
      <c r="A13" s="22" t="inlineStr">
        <is>
          <t>Dec</t>
        </is>
      </c>
      <c r="B13" s="54" t="n">
        <v>56595</v>
      </c>
      <c r="C13" s="41" t="n">
        <v>3729</v>
      </c>
      <c r="D13" s="37" t="n">
        <v>0.066</v>
      </c>
      <c r="E13" s="54" t="n">
        <v>52866</v>
      </c>
      <c r="F13" s="11" t="inlineStr">
        <is>
          <t>Early</t>
        </is>
      </c>
    </row>
    <row r="14">
      <c r="A14" s="55" t="inlineStr">
        <is>
          <t>TOTAL</t>
        </is>
      </c>
      <c r="B14" s="56">
        <f>SUM(B5:B13)</f>
        <v/>
      </c>
      <c r="C14" s="56">
        <f>SUM(C5:C13)</f>
        <v/>
      </c>
      <c r="D14" s="57">
        <f>C14/B14</f>
        <v/>
      </c>
      <c r="E14" s="56">
        <f>B14-C14</f>
        <v/>
      </c>
      <c r="F14" s="58"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30" customWidth="1" min="1" max="1"/>
    <col width="18" customWidth="1" min="2" max="2"/>
    <col width="14" customWidth="1" min="3" max="3"/>
  </cols>
  <sheetData>
    <row r="1">
      <c r="A1" s="18" t="inlineStr">
        <is>
          <t>Casa Yano — 2026 Pro Forma (Blended Forecast)</t>
        </is>
      </c>
    </row>
    <row r="2">
      <c r="A2" s="3" t="inlineStr">
        <is>
          <t>Blends 3 months of closed actuals with seasonal projections calibrated from actual performance</t>
        </is>
      </c>
    </row>
    <row r="4">
      <c r="A4" s="19" t="inlineStr"/>
      <c r="B4" s="19" t="inlineStr">
        <is>
          <t>Amount</t>
        </is>
      </c>
      <c r="C4" s="19" t="inlineStr">
        <is>
          <t>% of Gross</t>
        </is>
      </c>
    </row>
    <row r="5">
      <c r="A5" s="8" t="inlineStr">
        <is>
          <t>Gross Revenue</t>
        </is>
      </c>
      <c r="B5" s="9" t="n">
        <v>762108</v>
      </c>
      <c r="C5" s="17" t="n">
        <v>1</v>
      </c>
    </row>
    <row r="6">
      <c r="A6" s="6" t="inlineStr">
        <is>
          <t xml:space="preserve">  OTA Commissions</t>
        </is>
      </c>
      <c r="B6" s="7" t="n">
        <v>-82760</v>
      </c>
      <c r="C6" s="59" t="n"/>
    </row>
    <row r="7">
      <c r="A7" s="6" t="inlineStr">
        <is>
          <t xml:space="preserve">  Taxes (TOT)</t>
        </is>
      </c>
      <c r="B7" s="7" t="n">
        <v>-73018</v>
      </c>
      <c r="C7" s="59" t="n"/>
    </row>
    <row r="8">
      <c r="A8" s="6" t="inlineStr">
        <is>
          <t xml:space="preserve">  Processing Fees</t>
        </is>
      </c>
      <c r="B8" s="7" t="n">
        <v>-5215</v>
      </c>
      <c r="C8" s="59" t="n"/>
    </row>
    <row r="9">
      <c r="A9" s="60" t="inlineStr">
        <is>
          <t>Net to Owner</t>
        </is>
      </c>
      <c r="B9" s="61" t="n">
        <v>676763</v>
      </c>
      <c r="C9" s="62" t="n">
        <v>0.8880145596162223</v>
      </c>
    </row>
    <row r="10">
      <c r="A10" s="6" t="inlineStr">
        <is>
          <t xml:space="preserve">  Direct OpEx (Cleaning, Supplies, etc.)</t>
        </is>
      </c>
      <c r="B10" s="7" t="n">
        <v>-194628</v>
      </c>
      <c r="C10" s="59" t="n"/>
    </row>
    <row r="11">
      <c r="A11" s="6" t="inlineStr">
        <is>
          <t xml:space="preserve">  Management Fee (10%)</t>
        </is>
      </c>
      <c r="B11" s="7" t="n">
        <v>-76211</v>
      </c>
      <c r="C11" s="59" t="n"/>
    </row>
    <row r="12">
      <c r="A12" s="6" t="inlineStr">
        <is>
          <t xml:space="preserve">  Property Tax</t>
        </is>
      </c>
      <c r="B12" s="7" t="n">
        <v>-26679</v>
      </c>
      <c r="C12" s="59" t="n"/>
    </row>
    <row r="13">
      <c r="A13" s="6" t="inlineStr">
        <is>
          <t xml:space="preserve">  Insurance</t>
        </is>
      </c>
      <c r="B13" s="7" t="n">
        <v>-13500</v>
      </c>
      <c r="C13" s="59" t="n"/>
    </row>
    <row r="14">
      <c r="A14" s="6" t="inlineStr">
        <is>
          <t xml:space="preserve">  Other Fixed Costs</t>
        </is>
      </c>
      <c r="B14" s="7" t="n">
        <v>-24000</v>
      </c>
      <c r="C14" s="59" t="n"/>
    </row>
    <row r="15">
      <c r="A15" s="63" t="inlineStr">
        <is>
          <t>Net Operating Income</t>
        </is>
      </c>
      <c r="B15" s="64" t="n">
        <v>341745</v>
      </c>
      <c r="C15" s="65" t="n">
        <v>0.4484206962792675</v>
      </c>
    </row>
    <row r="17">
      <c r="A17" s="4" t="inlineStr">
        <is>
          <t>MODEL INPUTS</t>
        </is>
      </c>
      <c r="B17" s="5" t="n"/>
    </row>
    <row r="18">
      <c r="A18" s="6" t="inlineStr">
        <is>
          <t>Closed Months Used for Calibration</t>
        </is>
      </c>
      <c r="B18" s="6" t="n">
        <v>3</v>
      </c>
    </row>
    <row r="19">
      <c r="A19" s="6" t="inlineStr">
        <is>
          <t>Baseline ADR (de-seasonalized)</t>
        </is>
      </c>
      <c r="B19" s="7" t="n">
        <v>405</v>
      </c>
    </row>
    <row r="20">
      <c r="A20" s="6" t="inlineStr">
        <is>
          <t>Baseline Occupancy (de-seasonalized)</t>
        </is>
      </c>
      <c r="B20" s="10" t="n">
        <v>0.851</v>
      </c>
    </row>
    <row r="21">
      <c r="A21" s="6" t="inlineStr">
        <is>
          <t>Max Occupancy Cap</t>
        </is>
      </c>
      <c r="B21" s="10" t="n">
        <v>0.92</v>
      </c>
    </row>
    <row r="22">
      <c r="A22" s="6" t="inlineStr">
        <is>
          <t>Back-test MAPE (Gross Revenue)</t>
        </is>
      </c>
      <c r="B22" s="10" t="n">
        <v>0.049</v>
      </c>
    </row>
    <row r="24">
      <c r="A24" s="4" t="inlineStr">
        <is>
          <t>METHODOLOGY</t>
        </is>
      </c>
      <c r="B24" s="5" t="n"/>
      <c r="C24" s="5" t="n"/>
    </row>
    <row r="25" ht="90" customHeight="1">
      <c r="A25" s="66"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3">
    <mergeCell ref="A1:C1"/>
    <mergeCell ref="A25:C25"/>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2026-04-14T18:23:53Z</dcterms:created>
  <dcterms:modified xmlns:dcterms="http://purl.org/dc/terms/" xmlns:xsi="http://www.w3.org/2001/XMLSchema-instance" xsi:type="dcterms:W3CDTF">2026-04-14T18:23:53Z</dcterms:modified>
</cp:coreProperties>
</file>