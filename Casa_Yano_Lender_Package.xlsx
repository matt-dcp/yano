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2026-07-23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217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Jun 30, 2026</t>
        </is>
      </c>
      <c r="D14" s="6" t="inlineStr">
        <is>
          <t>Projection Basis</t>
        </is>
      </c>
      <c r="E14" s="6" t="inlineStr">
        <is>
          <t>6 months actuals + seasonal model</t>
        </is>
      </c>
    </row>
    <row r="15">
      <c r="A15" s="6" t="inlineStr">
        <is>
          <t>Rental Income</t>
        </is>
      </c>
      <c r="B15" s="7" t="n">
        <v>341945.84</v>
      </c>
      <c r="D15" s="6" t="inlineStr">
        <is>
          <t>Gross Revenue</t>
        </is>
      </c>
      <c r="E15" s="7" t="n">
        <v>793867</v>
      </c>
    </row>
    <row r="16">
      <c r="A16" s="6" t="inlineStr">
        <is>
          <t>Total Operating Expenses</t>
        </is>
      </c>
      <c r="B16" s="7" t="n">
        <v>159686.64</v>
      </c>
      <c r="D16" s="6" t="inlineStr">
        <is>
          <t>Net to Owner</t>
        </is>
      </c>
      <c r="E16" s="7" t="n">
        <v>700054</v>
      </c>
    </row>
    <row r="17">
      <c r="A17" s="8" t="inlineStr">
        <is>
          <t>Net Operating Income</t>
        </is>
      </c>
      <c r="B17" s="9" t="n">
        <v>182259.2</v>
      </c>
      <c r="D17" s="6" t="inlineStr">
        <is>
          <t>Total OpEx + Mgmt + PT</t>
        </is>
      </c>
      <c r="E17" s="7" t="n">
        <v>335668</v>
      </c>
    </row>
    <row r="18">
      <c r="D18" s="8" t="inlineStr">
        <is>
          <t>NOI Cash (matches QBO)</t>
        </is>
      </c>
      <c r="E18" s="9" t="n">
        <v>364386</v>
      </c>
    </row>
    <row r="19">
      <c r="D19" s="8" t="inlineStr">
        <is>
          <t>NOI Normalized (Underwriting)</t>
        </is>
      </c>
      <c r="E19" s="9" t="n">
        <v>350886</v>
      </c>
    </row>
    <row r="20">
      <c r="D20" s="6" t="inlineStr">
        <is>
          <t>Avg ADR (Blended)</t>
        </is>
      </c>
      <c r="E20" s="7" t="n">
        <v>445</v>
      </c>
    </row>
    <row r="21">
      <c r="D21" s="6" t="inlineStr">
        <is>
          <t>Avg Occupancy (Blended)</t>
        </is>
      </c>
      <c r="E21" s="10" t="n">
        <v>0.8079999999999999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Jun) - strong operating performance</t>
        </is>
      </c>
    </row>
    <row r="27">
      <c r="A27" s="11" t="inlineStr">
        <is>
          <t>•  Best month to date: May at $79,700 gross</t>
        </is>
      </c>
    </row>
    <row r="28">
      <c r="A28" s="11" t="inlineStr">
        <is>
          <t>•  Owner margin of 88.1% - efficient operations with low OTA commission rates</t>
        </is>
      </c>
    </row>
    <row r="29">
      <c r="A29" s="11" t="inlineStr">
        <is>
          <t>•  QBO YTD NOI of $182,259 through June 30 (6 months of operations, annualizes to ~$364,518)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350886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H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Jun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>
        <f>SUM(B7:G7)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</row>
    <row r="10">
      <c r="A10" s="6" t="inlineStr">
        <is>
          <t xml:space="preserve">  Cleaning</t>
        </is>
      </c>
      <c r="B10" s="7" t="n">
        <v>8483</v>
      </c>
      <c r="C10" s="7" t="n">
        <v>5790</v>
      </c>
      <c r="D10" s="7" t="n">
        <v>7028</v>
      </c>
      <c r="E10" s="7" t="n">
        <v>7020</v>
      </c>
      <c r="F10" s="7" t="n">
        <v>7255</v>
      </c>
      <c r="G10" s="7" t="n">
        <v>7940</v>
      </c>
      <c r="H10" s="7">
        <f>SUM(B10:G10)</f>
        <v/>
      </c>
    </row>
    <row r="11">
      <c r="A11" s="6" t="inlineStr">
        <is>
          <t xml:space="preserve">  Supplies</t>
        </is>
      </c>
      <c r="B11" s="7" t="n">
        <v>6034</v>
      </c>
      <c r="C11" s="7" t="n">
        <v>859</v>
      </c>
      <c r="D11" s="7" t="n">
        <v>2213</v>
      </c>
      <c r="E11" s="7" t="n">
        <v>607</v>
      </c>
      <c r="F11" s="7" t="n">
        <v>1378</v>
      </c>
      <c r="G11" s="7" t="n">
        <v>4189</v>
      </c>
      <c r="H11" s="7">
        <f>SUM(B11:G11)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</v>
      </c>
      <c r="F12" s="7" t="n">
        <v>2303</v>
      </c>
      <c r="G12" s="7" t="n">
        <v>586</v>
      </c>
      <c r="H12" s="7">
        <f>SUM(B12:G12)</f>
        <v/>
      </c>
    </row>
    <row r="13">
      <c r="A13" s="6" t="inlineStr">
        <is>
          <t xml:space="preserve">  Management Fee</t>
        </is>
      </c>
      <c r="B13" s="7" t="n">
        <v>4229</v>
      </c>
      <c r="C13" s="7" t="n">
        <v>4522</v>
      </c>
      <c r="D13" s="7" t="n">
        <v>5542</v>
      </c>
      <c r="E13" s="7" t="n">
        <v>7662</v>
      </c>
      <c r="F13" s="7" t="n">
        <v>5832</v>
      </c>
      <c r="G13" s="7" t="n">
        <v>6718</v>
      </c>
      <c r="H13" s="7">
        <f>SUM(B13:G13)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515</v>
      </c>
      <c r="F14" s="7" t="n">
        <v>60</v>
      </c>
      <c r="G14" s="7" t="n">
        <v>50</v>
      </c>
      <c r="H14" s="7">
        <f>SUM(B14:G14)</f>
        <v/>
      </c>
    </row>
    <row r="15">
      <c r="A15" s="6" t="inlineStr">
        <is>
          <t xml:space="preserve">  Taxes &amp; Licenses</t>
        </is>
      </c>
      <c r="B15" s="7" t="n">
        <v>1866</v>
      </c>
      <c r="C15" s="7" t="n">
        <v>5535</v>
      </c>
      <c r="D15" s="7" t="n">
        <v>14940</v>
      </c>
      <c r="E15" s="7" t="n">
        <v>8410</v>
      </c>
      <c r="F15" s="7" t="n">
        <v>9620</v>
      </c>
      <c r="G15" s="7" t="n">
        <v>9858</v>
      </c>
      <c r="H15" s="7">
        <f>SUM(B15:G15)</f>
        <v/>
      </c>
    </row>
    <row r="16">
      <c r="A16" s="6" t="inlineStr">
        <is>
          <t xml:space="preserve">  Other</t>
        </is>
      </c>
      <c r="B16" s="7" t="n">
        <v>0</v>
      </c>
      <c r="C16" s="7" t="n">
        <v>649</v>
      </c>
      <c r="D16" s="7" t="n">
        <v>325</v>
      </c>
      <c r="E16" s="7" t="n">
        <v>450</v>
      </c>
      <c r="F16" s="7" t="n">
        <v>0</v>
      </c>
      <c r="G16" s="7" t="n">
        <v>0</v>
      </c>
      <c r="H16" s="7">
        <f>SUM(B16:G16)</f>
        <v/>
      </c>
    </row>
    <row r="17">
      <c r="A17" s="25" t="inlineStr">
        <is>
          <t>Total Operating Expenses</t>
        </is>
      </c>
      <c r="B17" s="26">
        <f>SUM(B10:B16)</f>
        <v/>
      </c>
      <c r="C17" s="26">
        <f>SUM(C10:C16)</f>
        <v/>
      </c>
      <c r="D17" s="26">
        <f>SUM(D10:D16)</f>
        <v/>
      </c>
      <c r="E17" s="26">
        <f>SUM(E10:E16)</f>
        <v/>
      </c>
      <c r="F17" s="26">
        <f>SUM(F10:F16)</f>
        <v/>
      </c>
      <c r="G17" s="26">
        <f>SUM(G10:G16)</f>
        <v/>
      </c>
      <c r="H17" s="26">
        <f>SUM(B17:G17)</f>
        <v/>
      </c>
    </row>
    <row r="19">
      <c r="A19" s="27" t="inlineStr">
        <is>
          <t>Net Operating Income</t>
        </is>
      </c>
      <c r="B19" s="28">
        <f>B7-B17</f>
        <v/>
      </c>
      <c r="C19" s="28">
        <f>C7-C17</f>
        <v/>
      </c>
      <c r="D19" s="28">
        <f>D7-D17</f>
        <v/>
      </c>
      <c r="E19" s="28">
        <f>E7-E17</f>
        <v/>
      </c>
      <c r="F19" s="28">
        <f>F7-F17</f>
        <v/>
      </c>
      <c r="G19" s="28">
        <f>G7-G17</f>
        <v/>
      </c>
      <c r="H19" s="28">
        <f>SUM(B19:G19)</f>
        <v/>
      </c>
    </row>
    <row r="21">
      <c r="A21" s="29" t="inlineStr">
        <is>
          <t>Reconciliation check:</t>
        </is>
      </c>
      <c r="B21" s="30">
        <f>IF(ROUND(B7-B17-B19,0)=0,"OK","ERR")</f>
        <v/>
      </c>
      <c r="C21" s="30">
        <f>IF(ROUND(C7-C17-C19,0)=0,"OK","ERR")</f>
        <v/>
      </c>
      <c r="D21" s="30">
        <f>IF(ROUND(D7-D17-D19,0)=0,"OK","ERR")</f>
        <v/>
      </c>
      <c r="E21" s="30">
        <f>IF(ROUND(E7-E17-E19,0)=0,"OK","ERR")</f>
        <v/>
      </c>
      <c r="F21" s="30">
        <f>IF(ROUND(F7-F17-F19,0)=0,"OK","ERR")</f>
        <v/>
      </c>
      <c r="G21" s="30">
        <f>IF(ROUND(G7-G17-G19,0)=0,"OK","ERR")</f>
        <v/>
      </c>
      <c r="H21" s="30">
        <f>IF(ROUND(H7-H17-H19,0)=0,"OK","ERR")</f>
        <v/>
      </c>
    </row>
    <row r="23">
      <c r="A23" s="4" t="inlineStr">
        <is>
          <t>QBO RECONCILIATION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s="3" t="inlineStr">
        <is>
          <t>QBO YTD Rental Income (Jan 1 – Jun 30): $341,946</t>
        </is>
      </c>
    </row>
    <row r="25">
      <c r="A25" s="3" t="inlineStr">
        <is>
          <t>QBO YTD Total Expenses: $159,687  |  QBO YTD NOI: $182,259</t>
        </is>
      </c>
    </row>
    <row r="26">
      <c r="A26" s="3" t="inlineStr">
        <is>
          <t>Note: Minor variances between PMS and QBO are expected due to cash vs accrual timing and partial-month cutoffs.</t>
        </is>
      </c>
    </row>
  </sheetData>
  <mergeCells count="6">
    <mergeCell ref="A3:H3"/>
    <mergeCell ref="A26:H26"/>
    <mergeCell ref="A25:H25"/>
    <mergeCell ref="A24:H24"/>
    <mergeCell ref="A2:H2"/>
    <mergeCell ref="A1:H1"/>
  </mergeCells>
  <conditionalFormatting sqref="B21">
    <cfRule type="expression" priority="1" dxfId="0">
      <formula>B21="OK"</formula>
    </cfRule>
    <cfRule type="expression" priority="2" dxfId="1">
      <formula>B21="ERR"</formula>
    </cfRule>
  </conditionalFormatting>
  <conditionalFormatting sqref="C21">
    <cfRule type="expression" priority="3" dxfId="0">
      <formula>C21="OK"</formula>
    </cfRule>
    <cfRule type="expression" priority="4" dxfId="1">
      <formula>C21="ERR"</formula>
    </cfRule>
  </conditionalFormatting>
  <conditionalFormatting sqref="D21">
    <cfRule type="expression" priority="5" dxfId="0">
      <formula>D21="OK"</formula>
    </cfRule>
    <cfRule type="expression" priority="6" dxfId="1">
      <formula>D21="ERR"</formula>
    </cfRule>
  </conditionalFormatting>
  <conditionalFormatting sqref="E21">
    <cfRule type="expression" priority="7" dxfId="0">
      <formula>E21="OK"</formula>
    </cfRule>
    <cfRule type="expression" priority="8" dxfId="1">
      <formula>E21="ERR"</formula>
    </cfRule>
  </conditionalFormatting>
  <conditionalFormatting sqref="F21">
    <cfRule type="expression" priority="9" dxfId="0">
      <formula>F21="OK"</formula>
    </cfRule>
    <cfRule type="expression" priority="10" dxfId="1">
      <formula>F21="ERR"</formula>
    </cfRule>
  </conditionalFormatting>
  <conditionalFormatting sqref="G21">
    <cfRule type="expression" priority="11" dxfId="0">
      <formula>G21="OK"</formula>
    </cfRule>
    <cfRule type="expression" priority="12" dxfId="1">
      <formula>G21="ERR"</formula>
    </cfRule>
  </conditionalFormatting>
  <conditionalFormatting sqref="H21">
    <cfRule type="expression" priority="13" dxfId="0">
      <formula>H21="OK"</formula>
    </cfRule>
    <cfRule type="expression" priority="14" dxfId="1">
      <formula>H21="ERR"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3" t="inlineStr">
        <is>
          <t>BOOKED</t>
        </is>
      </c>
      <c r="I4" s="34" t="inlineStr">
        <is>
          <t>PROJECTED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45</v>
      </c>
      <c r="I6" s="37" t="n">
        <v>66</v>
      </c>
      <c r="J6" s="37" t="n">
        <v>54</v>
      </c>
      <c r="K6" s="37" t="n">
        <v>53</v>
      </c>
      <c r="L6" s="37" t="n">
        <v>53</v>
      </c>
      <c r="M6" s="37" t="n">
        <v>58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154</v>
      </c>
      <c r="I7" s="39" t="n">
        <v>168</v>
      </c>
      <c r="J7" s="39" t="n">
        <v>136</v>
      </c>
      <c r="K7" s="39" t="n">
        <v>133</v>
      </c>
      <c r="L7" s="39" t="n">
        <v>133</v>
      </c>
      <c r="M7" s="39" t="n">
        <v>146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0.828</v>
      </c>
      <c r="I9" s="41" t="n">
        <v>0.9009999999999999</v>
      </c>
      <c r="J9" s="41" t="n">
        <v>0.758</v>
      </c>
      <c r="K9" s="41" t="n">
        <v>0.716</v>
      </c>
      <c r="L9" s="41" t="n">
        <v>0.741</v>
      </c>
      <c r="M9" s="41" t="n">
        <v>0.7829999999999999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636</v>
      </c>
      <c r="I10" s="43" t="n">
        <v>513</v>
      </c>
      <c r="J10" s="43" t="n">
        <v>407</v>
      </c>
      <c r="K10" s="43" t="n">
        <v>385</v>
      </c>
      <c r="L10" s="43" t="n">
        <v>385</v>
      </c>
      <c r="M10" s="43" t="n">
        <v>407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526</v>
      </c>
      <c r="I11" s="45" t="n">
        <v>463</v>
      </c>
      <c r="J11" s="45" t="n">
        <v>308</v>
      </c>
      <c r="K11" s="45" t="n">
        <v>275</v>
      </c>
      <c r="L11" s="45" t="n">
        <v>284</v>
      </c>
      <c r="M11" s="45" t="n">
        <v>319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97877</v>
      </c>
      <c r="I12" s="47" t="n">
        <v>86184</v>
      </c>
      <c r="J12" s="47" t="n">
        <v>55352</v>
      </c>
      <c r="K12" s="47" t="n">
        <v>51205</v>
      </c>
      <c r="L12" s="47" t="n">
        <v>51205</v>
      </c>
      <c r="M12" s="47" t="n">
        <v>59422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85227</v>
      </c>
      <c r="I13" s="48" t="n">
        <v>75965</v>
      </c>
      <c r="J13" s="48" t="n">
        <v>48789</v>
      </c>
      <c r="K13" s="48" t="n">
        <v>45134</v>
      </c>
      <c r="L13" s="48" t="n">
        <v>45134</v>
      </c>
      <c r="M13" s="48" t="n">
        <v>52376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2026-07-23.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Jul</t>
        </is>
      </c>
      <c r="B5" s="50" t="n">
        <v>97877</v>
      </c>
      <c r="C5" s="51" t="n">
        <v>97877</v>
      </c>
      <c r="D5" s="52" t="n">
        <v>1</v>
      </c>
      <c r="E5" s="50" t="n">
        <v>636</v>
      </c>
      <c r="F5" s="50" t="n">
        <v>526</v>
      </c>
      <c r="G5" s="50" t="n">
        <v>0</v>
      </c>
      <c r="H5" s="53" t="inlineStr">
        <is>
          <t>Fully Booked</t>
        </is>
      </c>
    </row>
    <row r="6">
      <c r="A6" s="54" t="inlineStr">
        <is>
          <t>Aug</t>
        </is>
      </c>
      <c r="B6" s="55" t="n">
        <v>86184</v>
      </c>
      <c r="C6" s="56" t="n">
        <v>39273</v>
      </c>
      <c r="D6" s="57" t="n">
        <v>0.456</v>
      </c>
      <c r="E6" s="55" t="n">
        <v>595</v>
      </c>
      <c r="F6" s="55" t="n">
        <v>211</v>
      </c>
      <c r="G6" s="55" t="n">
        <v>46911</v>
      </c>
      <c r="H6" s="58" t="inlineStr">
        <is>
          <t>Building</t>
        </is>
      </c>
    </row>
    <row r="7">
      <c r="A7" s="54" t="inlineStr">
        <is>
          <t>Sep</t>
        </is>
      </c>
      <c r="B7" s="55" t="n">
        <v>55352</v>
      </c>
      <c r="C7" s="56" t="n">
        <v>23042</v>
      </c>
      <c r="D7" s="57" t="n">
        <v>0.416</v>
      </c>
      <c r="E7" s="55" t="n">
        <v>524</v>
      </c>
      <c r="F7" s="55" t="n">
        <v>128</v>
      </c>
      <c r="G7" s="55" t="n">
        <v>32310</v>
      </c>
      <c r="H7" s="58" t="inlineStr">
        <is>
          <t>Building</t>
        </is>
      </c>
    </row>
    <row r="8">
      <c r="A8" s="31" t="inlineStr">
        <is>
          <t>Oct</t>
        </is>
      </c>
      <c r="B8" s="59" t="n">
        <v>51205</v>
      </c>
      <c r="C8" s="46" t="n">
        <v>9175</v>
      </c>
      <c r="D8" s="42" t="n">
        <v>0.179</v>
      </c>
      <c r="E8" s="59" t="n">
        <v>540</v>
      </c>
      <c r="F8" s="59" t="n">
        <v>49</v>
      </c>
      <c r="G8" s="59" t="n">
        <v>42030</v>
      </c>
      <c r="H8" s="11" t="inlineStr">
        <is>
          <t>Early</t>
        </is>
      </c>
    </row>
    <row r="9">
      <c r="A9" s="31" t="inlineStr">
        <is>
          <t>Nov</t>
        </is>
      </c>
      <c r="B9" s="59" t="n">
        <v>51205</v>
      </c>
      <c r="C9" s="46" t="n">
        <v>5590</v>
      </c>
      <c r="D9" s="42" t="n">
        <v>0.109</v>
      </c>
      <c r="E9" s="59" t="n">
        <v>508</v>
      </c>
      <c r="F9" s="59" t="n">
        <v>31</v>
      </c>
      <c r="G9" s="59" t="n">
        <v>45615</v>
      </c>
      <c r="H9" s="11" t="inlineStr">
        <is>
          <t>Early</t>
        </is>
      </c>
    </row>
    <row r="10">
      <c r="A10" s="31" t="inlineStr">
        <is>
          <t>Dec</t>
        </is>
      </c>
      <c r="B10" s="59" t="n">
        <v>59422</v>
      </c>
      <c r="C10" s="46" t="n">
        <v>5384</v>
      </c>
      <c r="D10" s="42" t="n">
        <v>0.091</v>
      </c>
      <c r="E10" s="59" t="n">
        <v>336</v>
      </c>
      <c r="F10" s="59" t="n">
        <v>29</v>
      </c>
      <c r="G10" s="59" t="n">
        <v>54038</v>
      </c>
      <c r="H10" s="11" t="inlineStr">
        <is>
          <t>Early</t>
        </is>
      </c>
    </row>
    <row r="11">
      <c r="A11" s="60" t="inlineStr">
        <is>
          <t>TOTAL</t>
        </is>
      </c>
      <c r="B11" s="61">
        <f>SUM(B5:B10)</f>
        <v/>
      </c>
      <c r="C11" s="61">
        <f>SUM(C5:C10)</f>
        <v/>
      </c>
      <c r="D11" s="62">
        <f>C11/B11</f>
        <v/>
      </c>
      <c r="E11" s="63" t="n"/>
      <c r="F11" s="63" t="n"/>
      <c r="G11" s="61">
        <f>B11-C11</f>
        <v/>
      </c>
      <c r="H11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6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793867</v>
      </c>
      <c r="C5" s="17" t="n">
        <v>1</v>
      </c>
    </row>
    <row r="6">
      <c r="A6" s="6" t="inlineStr">
        <is>
          <t xml:space="preserve">  OTA Commissions</t>
        </is>
      </c>
      <c r="B6" s="7" t="n">
        <v>-88295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-5518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-242941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364386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350886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(6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77005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collected from guests</t>
        </is>
      </c>
      <c r="B45" s="74" t="inlineStr">
        <is>
          <t>see Cleaning expense</t>
        </is>
      </c>
    </row>
    <row r="46">
      <c r="A46" s="3" t="inlineStr">
        <is>
          <t xml:space="preserve">  Offset by Cleaning expense above; net-neutral pass-through</t>
        </is>
      </c>
    </row>
    <row r="48">
      <c r="A48" s="4" t="inlineStr">
        <is>
          <t>MODEL INPUTS</t>
        </is>
      </c>
      <c r="B48" s="5" t="n"/>
    </row>
    <row r="49">
      <c r="A49" s="6" t="inlineStr">
        <is>
          <t>Closed Months Used for Calibration</t>
        </is>
      </c>
      <c r="B49" s="6" t="n">
        <v>6</v>
      </c>
    </row>
    <row r="50">
      <c r="A50" s="6" t="inlineStr">
        <is>
          <t>Baseline ADR (de-seasonalized)</t>
        </is>
      </c>
      <c r="B50" s="7" t="n">
        <v>428</v>
      </c>
    </row>
    <row r="51">
      <c r="A51" s="6" t="inlineStr">
        <is>
          <t>Baseline Occupancy (de-seasonalized)</t>
        </is>
      </c>
      <c r="B51" s="10" t="n">
        <v>0.8420000000000001</v>
      </c>
    </row>
    <row r="52">
      <c r="A52" s="6" t="inlineStr">
        <is>
          <t>Max Occupancy Cap</t>
        </is>
      </c>
      <c r="B52" s="10" t="n">
        <v>0.92</v>
      </c>
    </row>
    <row r="53">
      <c r="A53" s="6" t="inlineStr">
        <is>
          <t>Back-test MAPE (Gross Revenue)</t>
        </is>
      </c>
      <c r="B53" s="10" t="n">
        <v>0.105</v>
      </c>
    </row>
    <row r="55">
      <c r="A55" s="4" t="inlineStr">
        <is>
          <t>METHODOLOGY</t>
        </is>
      </c>
      <c r="B55" s="5" t="n"/>
      <c r="C55" s="5" t="n"/>
    </row>
    <row r="56" ht="90" customHeight="1">
      <c r="A56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3">
    <mergeCell ref="A42:C42"/>
    <mergeCell ref="A41:C41"/>
    <mergeCell ref="A33:C33"/>
    <mergeCell ref="A36:C36"/>
    <mergeCell ref="A44:C44"/>
    <mergeCell ref="A1:C1"/>
    <mergeCell ref="A37:C37"/>
    <mergeCell ref="A46:C46"/>
    <mergeCell ref="A56:C56"/>
    <mergeCell ref="A34:C34"/>
    <mergeCell ref="A35:C35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2026-07-23T13:29:04Z</dcterms:created>
  <dcterms:modified xmlns:dcterms="http://purl.org/dc/terms/" xmlns:xsi="http://www.w3.org/2001/XMLSchema-instance" xsi:type="dcterms:W3CDTF">2026-07-23T13:29:04Z</dcterms:modified>
</cp:coreProperties>
</file>