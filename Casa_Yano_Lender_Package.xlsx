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6">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i val="1"/>
      <color rgb="00666666"/>
      <sz val="9"/>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14" fillId="0" borderId="0" pivotButton="0" quotePrefix="0" xfId="0"/>
    <xf numFmtId="0" fontId="14" fillId="0" borderId="0" applyAlignment="1" pivotButton="0" quotePrefix="0" xfId="0">
      <alignment horizontal="center"/>
    </xf>
    <xf numFmtId="0" fontId="6" fillId="0" borderId="0" pivotButton="0" quotePrefix="0" xfId="0"/>
    <xf numFmtId="0" fontId="15" fillId="6" borderId="0" applyAlignment="1" pivotButton="0" quotePrefix="0" xfId="0">
      <alignment horizontal="center"/>
    </xf>
    <xf numFmtId="0" fontId="15" fillId="7" borderId="0" applyAlignment="1" pivotButton="0" quotePrefix="0" xfId="0">
      <alignment horizontal="center"/>
    </xf>
    <xf numFmtId="0" fontId="15"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165" fontId="6" fillId="4" borderId="2" pivotButton="0" quotePrefix="0" xfId="0"/>
    <xf numFmtId="0" fontId="4" fillId="3" borderId="0" pivotButton="0" quotePrefix="0" xfId="0"/>
    <xf numFmtId="165" fontId="0" fillId="0" borderId="2" pivotButton="0" quotePrefix="0" xfId="0"/>
    <xf numFmtId="0" fontId="6" fillId="0" borderId="1" pivotButton="0" quotePrefix="0" xfId="0"/>
    <xf numFmtId="164" fontId="6" fillId="0" borderId="1" pivotButton="0" quotePrefix="0" xfId="0"/>
    <xf numFmtId="165" fontId="6" fillId="0" borderId="1" pivotButton="0" quotePrefix="0" xfId="0"/>
    <xf numFmtId="165" fontId="13" fillId="5" borderId="1" pivotButton="0" quotePrefix="0" xfId="0"/>
    <xf numFmtId="0" fontId="3" fillId="0" borderId="2" pivotButton="0" quotePrefix="0" xfId="0"/>
    <xf numFmtId="0" fontId="5" fillId="0" borderId="0" applyAlignment="1" pivotButton="0" quotePrefix="0" xfId="0">
      <alignment vertical="top" wrapText="1"/>
    </xf>
  </cellXfs>
  <cellStyles count="1">
    <cellStyle name="Normal" xfId="0" builtinId="0" hidden="0"/>
  </cellStyles>
  <dxfs count="4">
    <dxf>
      <fill>
        <patternFill patternType="solid">
          <fgColor rgb="00E8F5E9"/>
        </patternFill>
      </fill>
    </dxf>
    <dxf>
      <fill>
        <patternFill patternType="solid">
          <fgColor rgb="00FFEBEE"/>
        </patternFill>
      </fill>
    </dxf>
    <dxf>
      <font>
        <name val="Arial"/>
        <b val="1"/>
        <color rgb="002D8B2D"/>
      </font>
      <fill>
        <patternFill patternType="solid">
          <fgColor rgb="00E8F5E9"/>
        </patternFill>
      </fill>
    </dxf>
    <dxf>
      <font>
        <name val="Arial"/>
        <b val="1"/>
        <color rgb="00E53935"/>
      </font>
      <fill>
        <patternFill patternType="solid">
          <fgColor rgb="00FFEB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2026-07-22</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216</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Jun 30, 2026</t>
        </is>
      </c>
      <c r="D14" s="6" t="inlineStr">
        <is>
          <t>Projection Basis</t>
        </is>
      </c>
      <c r="E14" s="6" t="inlineStr">
        <is>
          <t>6 months actuals + seasonal model</t>
        </is>
      </c>
    </row>
    <row r="15">
      <c r="A15" s="6" t="inlineStr">
        <is>
          <t>Rental Income</t>
        </is>
      </c>
      <c r="B15" s="7" t="n">
        <v>341945.84</v>
      </c>
      <c r="D15" s="6" t="inlineStr">
        <is>
          <t>Gross Revenue</t>
        </is>
      </c>
      <c r="E15" s="7" t="n">
        <v>793867</v>
      </c>
    </row>
    <row r="16">
      <c r="A16" s="6" t="inlineStr">
        <is>
          <t>Total Operating Expenses</t>
        </is>
      </c>
      <c r="B16" s="7" t="n">
        <v>159686.64</v>
      </c>
      <c r="D16" s="6" t="inlineStr">
        <is>
          <t>Net to Owner</t>
        </is>
      </c>
      <c r="E16" s="7" t="n">
        <v>700054</v>
      </c>
    </row>
    <row r="17">
      <c r="A17" s="8" t="inlineStr">
        <is>
          <t>Net Operating Income</t>
        </is>
      </c>
      <c r="B17" s="9" t="n">
        <v>182259.2</v>
      </c>
      <c r="D17" s="6" t="inlineStr">
        <is>
          <t>Total OpEx + Fixed</t>
        </is>
      </c>
      <c r="E17" s="7" t="n">
        <v>349168</v>
      </c>
    </row>
    <row r="18">
      <c r="D18" s="8" t="inlineStr">
        <is>
          <t>NOI (After Known Fixed)</t>
        </is>
      </c>
      <c r="E18" s="9" t="n">
        <v>350886</v>
      </c>
    </row>
    <row r="19">
      <c r="D19" s="6" t="inlineStr">
        <is>
          <t>Avg ADR (Blended)</t>
        </is>
      </c>
      <c r="E19" s="7" t="n">
        <v>445</v>
      </c>
    </row>
    <row r="20">
      <c r="D20" s="6" t="inlineStr">
        <is>
          <t>Avg Occupancy (Blended)</t>
        </is>
      </c>
      <c r="E20" s="10" t="n">
        <v>0.8079999999999999</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ranging from 75% to 91% across closed months (Jan - Jun) - strong operating performance</t>
        </is>
      </c>
    </row>
    <row r="26">
      <c r="A26" s="11" t="inlineStr">
        <is>
          <t>•  Best month to date: May at $79,700 gross</t>
        </is>
      </c>
    </row>
    <row r="27">
      <c r="A27" s="11" t="inlineStr">
        <is>
          <t>•  Owner margin of 88.1% - efficient operations with low OTA commission rates</t>
        </is>
      </c>
    </row>
    <row r="28">
      <c r="A28" s="11" t="inlineStr">
        <is>
          <t>•  QBO YTD NOI of $182,259 through June 30 (6 months of operations, annualizes to ~$364,518)</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350886</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H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Profit &amp; Loss by Month (2026)</t>
        </is>
      </c>
    </row>
    <row r="2">
      <c r="A2" s="2" t="inlineStr">
        <is>
          <t>Operating data: January – Jun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Jun</t>
        </is>
      </c>
      <c r="H5" s="20" t="inlineStr">
        <is>
          <t>YTD Total</t>
        </is>
      </c>
    </row>
    <row r="6">
      <c r="A6" s="21" t="inlineStr">
        <is>
          <t>INCOME</t>
        </is>
      </c>
      <c r="B6" s="22" t="n"/>
      <c r="C6" s="22" t="n"/>
      <c r="D6" s="22" t="n"/>
      <c r="E6" s="22" t="n"/>
      <c r="F6" s="22" t="n"/>
      <c r="G6" s="22" t="n"/>
      <c r="H6" s="22" t="n"/>
    </row>
    <row r="7">
      <c r="A7" s="8" t="inlineStr">
        <is>
          <t>Gross Booking Revenue</t>
        </is>
      </c>
      <c r="B7" s="9" t="n">
        <v>40041</v>
      </c>
      <c r="C7" s="9" t="n">
        <v>54065</v>
      </c>
      <c r="D7" s="9" t="n">
        <v>68024</v>
      </c>
      <c r="E7" s="9" t="n">
        <v>73746</v>
      </c>
      <c r="F7" s="9" t="n">
        <v>79700</v>
      </c>
      <c r="G7" s="9" t="n">
        <v>77046</v>
      </c>
      <c r="H7" s="9">
        <f>SUM(B7:G7)</f>
        <v/>
      </c>
    </row>
    <row r="8">
      <c r="A8" s="23" t="inlineStr">
        <is>
          <t>Net to Owner (after OTA &amp; Processing)</t>
        </is>
      </c>
      <c r="B8" s="24" t="n">
        <v>35785</v>
      </c>
      <c r="C8" s="24" t="n">
        <v>48880</v>
      </c>
      <c r="D8" s="24" t="n">
        <v>61256</v>
      </c>
      <c r="E8" s="24" t="n">
        <v>64778</v>
      </c>
      <c r="F8" s="24" t="n">
        <v>69654</v>
      </c>
      <c r="G8" s="24" t="n">
        <v>67076</v>
      </c>
      <c r="H8" s="24">
        <f>SUM(B8:G8)</f>
        <v/>
      </c>
    </row>
    <row r="10">
      <c r="A10" s="21" t="inlineStr">
        <is>
          <t>OPERATING EXPENSES</t>
        </is>
      </c>
      <c r="B10" s="22" t="n"/>
      <c r="C10" s="22" t="n"/>
      <c r="D10" s="22" t="n"/>
      <c r="E10" s="22" t="n"/>
      <c r="F10" s="22" t="n"/>
      <c r="G10" s="22" t="n"/>
      <c r="H10" s="22" t="n"/>
    </row>
    <row r="11">
      <c r="A11" s="6" t="inlineStr">
        <is>
          <t xml:space="preserve">  Cleaning</t>
        </is>
      </c>
      <c r="B11" s="7" t="n">
        <v>8483</v>
      </c>
      <c r="C11" s="7" t="n">
        <v>5790</v>
      </c>
      <c r="D11" s="7" t="n">
        <v>7028</v>
      </c>
      <c r="E11" s="7" t="n">
        <v>7020</v>
      </c>
      <c r="F11" s="7" t="n">
        <v>7255</v>
      </c>
      <c r="G11" s="7" t="n">
        <v>7940</v>
      </c>
      <c r="H11" s="7">
        <f>SUM(B11:G11)</f>
        <v/>
      </c>
    </row>
    <row r="12">
      <c r="A12" s="6" t="inlineStr">
        <is>
          <t xml:space="preserve">  Supplies</t>
        </is>
      </c>
      <c r="B12" s="7" t="n">
        <v>6034</v>
      </c>
      <c r="C12" s="7" t="n">
        <v>859</v>
      </c>
      <c r="D12" s="7" t="n">
        <v>2213</v>
      </c>
      <c r="E12" s="7" t="n">
        <v>607</v>
      </c>
      <c r="F12" s="7" t="n">
        <v>1378</v>
      </c>
      <c r="G12" s="7" t="n">
        <v>4189</v>
      </c>
      <c r="H12" s="7">
        <f>SUM(B12:G12)</f>
        <v/>
      </c>
    </row>
    <row r="13">
      <c r="A13" s="6" t="inlineStr">
        <is>
          <t xml:space="preserve">  Repairs &amp; Maintenance</t>
        </is>
      </c>
      <c r="B13" s="7" t="n">
        <v>572</v>
      </c>
      <c r="C13" s="7" t="n">
        <v>285</v>
      </c>
      <c r="D13" s="7" t="n">
        <v>1290</v>
      </c>
      <c r="E13" s="7" t="n">
        <v>570</v>
      </c>
      <c r="F13" s="7" t="n">
        <v>2303</v>
      </c>
      <c r="G13" s="7" t="n">
        <v>586</v>
      </c>
      <c r="H13" s="7">
        <f>SUM(B13:G13)</f>
        <v/>
      </c>
    </row>
    <row r="14">
      <c r="A14" s="6" t="inlineStr">
        <is>
          <t xml:space="preserve">  Management Fee</t>
        </is>
      </c>
      <c r="B14" s="7" t="n">
        <v>4229</v>
      </c>
      <c r="C14" s="7" t="n">
        <v>4522</v>
      </c>
      <c r="D14" s="7" t="n">
        <v>5542</v>
      </c>
      <c r="E14" s="7" t="n">
        <v>7662</v>
      </c>
      <c r="F14" s="7" t="n">
        <v>5832</v>
      </c>
      <c r="G14" s="7" t="n">
        <v>6718</v>
      </c>
      <c r="H14" s="7">
        <f>SUM(B14:G14)</f>
        <v/>
      </c>
    </row>
    <row r="15">
      <c r="A15" s="6" t="inlineStr">
        <is>
          <t xml:space="preserve">  Marketing &amp; Advertising</t>
        </is>
      </c>
      <c r="B15" s="7" t="n">
        <v>2410</v>
      </c>
      <c r="C15" s="7" t="n">
        <v>0</v>
      </c>
      <c r="D15" s="7" t="n">
        <v>0</v>
      </c>
      <c r="E15" s="7" t="n">
        <v>515</v>
      </c>
      <c r="F15" s="7" t="n">
        <v>60</v>
      </c>
      <c r="G15" s="7" t="n">
        <v>50</v>
      </c>
      <c r="H15" s="7">
        <f>SUM(B15:G15)</f>
        <v/>
      </c>
    </row>
    <row r="16">
      <c r="A16" s="6" t="inlineStr">
        <is>
          <t xml:space="preserve">  Taxes &amp; Licenses</t>
        </is>
      </c>
      <c r="B16" s="7" t="n">
        <v>1866</v>
      </c>
      <c r="C16" s="7" t="n">
        <v>5535</v>
      </c>
      <c r="D16" s="7" t="n">
        <v>14940</v>
      </c>
      <c r="E16" s="7" t="n">
        <v>8410</v>
      </c>
      <c r="F16" s="7" t="n">
        <v>9620</v>
      </c>
      <c r="G16" s="7" t="n">
        <v>9858</v>
      </c>
      <c r="H16" s="7">
        <f>SUM(B16:G16)</f>
        <v/>
      </c>
    </row>
    <row r="17">
      <c r="A17" s="6" t="inlineStr">
        <is>
          <t xml:space="preserve">  Other</t>
        </is>
      </c>
      <c r="B17" s="7" t="n">
        <v>0</v>
      </c>
      <c r="C17" s="7" t="n">
        <v>649</v>
      </c>
      <c r="D17" s="7" t="n">
        <v>325</v>
      </c>
      <c r="E17" s="7" t="n">
        <v>450</v>
      </c>
      <c r="F17" s="7" t="n">
        <v>0</v>
      </c>
      <c r="G17" s="7" t="n">
        <v>0</v>
      </c>
      <c r="H17" s="7">
        <f>SUM(B17:G17)</f>
        <v/>
      </c>
    </row>
    <row r="18">
      <c r="A18" s="25" t="inlineStr">
        <is>
          <t>Total Operating Expenses</t>
        </is>
      </c>
      <c r="B18" s="26">
        <f>SUM(B11:B17)</f>
        <v/>
      </c>
      <c r="C18" s="26">
        <f>SUM(C11:C17)</f>
        <v/>
      </c>
      <c r="D18" s="26">
        <f>SUM(D11:D17)</f>
        <v/>
      </c>
      <c r="E18" s="26">
        <f>SUM(E11:E17)</f>
        <v/>
      </c>
      <c r="F18" s="26">
        <f>SUM(F11:F17)</f>
        <v/>
      </c>
      <c r="G18" s="26">
        <f>SUM(G11:G17)</f>
        <v/>
      </c>
      <c r="H18" s="26">
        <f>SUM(B18:G18)</f>
        <v/>
      </c>
    </row>
    <row r="20">
      <c r="A20" s="27" t="inlineStr">
        <is>
          <t>Net Operating Income</t>
        </is>
      </c>
      <c r="B20" s="28">
        <f>B8-B18</f>
        <v/>
      </c>
      <c r="C20" s="28">
        <f>C8-C18</f>
        <v/>
      </c>
      <c r="D20" s="28">
        <f>D8-D18</f>
        <v/>
      </c>
      <c r="E20" s="28">
        <f>E8-E18</f>
        <v/>
      </c>
      <c r="F20" s="28">
        <f>F8-F18</f>
        <v/>
      </c>
      <c r="G20" s="28">
        <f>G8-G18</f>
        <v/>
      </c>
      <c r="H20" s="28">
        <f>SUM(B20:G20)</f>
        <v/>
      </c>
    </row>
    <row r="22">
      <c r="A22" s="29" t="inlineStr">
        <is>
          <t>Reconciliation check:</t>
        </is>
      </c>
      <c r="B22" s="30">
        <f>IF(ROUND(B8-B18-B20,0)=0,"OK","ERR")</f>
        <v/>
      </c>
      <c r="C22" s="30">
        <f>IF(ROUND(C8-C18-C20,0)=0,"OK","ERR")</f>
        <v/>
      </c>
      <c r="D22" s="30">
        <f>IF(ROUND(D8-D18-D20,0)=0,"OK","ERR")</f>
        <v/>
      </c>
      <c r="E22" s="30">
        <f>IF(ROUND(E8-E18-E20,0)=0,"OK","ERR")</f>
        <v/>
      </c>
      <c r="F22" s="30">
        <f>IF(ROUND(F8-F18-F20,0)=0,"OK","ERR")</f>
        <v/>
      </c>
      <c r="G22" s="30">
        <f>IF(ROUND(G8-G18-G20,0)=0,"OK","ERR")</f>
        <v/>
      </c>
      <c r="H22" s="30">
        <f>IF(ROUND(H8-H18-H20,0)=0,"OK","ERR")</f>
        <v/>
      </c>
    </row>
    <row r="24">
      <c r="A24" s="4" t="inlineStr">
        <is>
          <t>QBO RECONCILIATION</t>
        </is>
      </c>
      <c r="B24" s="5" t="n"/>
      <c r="C24" s="5" t="n"/>
      <c r="D24" s="5" t="n"/>
      <c r="E24" s="5" t="n"/>
      <c r="F24" s="5" t="n"/>
      <c r="G24" s="5" t="n"/>
      <c r="H24" s="5" t="n"/>
    </row>
    <row r="25">
      <c r="A25" s="3" t="inlineStr">
        <is>
          <t>QBO YTD Rental Income (Jan 1 – Jun 30): $341,946</t>
        </is>
      </c>
    </row>
    <row r="26">
      <c r="A26" s="3" t="inlineStr">
        <is>
          <t>QBO YTD Total Expenses: $159,687  |  QBO YTD NOI: $182,259</t>
        </is>
      </c>
    </row>
    <row r="27">
      <c r="A27" s="3" t="inlineStr">
        <is>
          <t>Note: Minor variances between PMS and QBO are expected due to cash vs accrual timing and partial-month cutoffs.</t>
        </is>
      </c>
    </row>
  </sheetData>
  <mergeCells count="6">
    <mergeCell ref="A26:H26"/>
    <mergeCell ref="A3:H3"/>
    <mergeCell ref="A25:H25"/>
    <mergeCell ref="A2:H2"/>
    <mergeCell ref="A1:H1"/>
    <mergeCell ref="A27:H27"/>
  </mergeCells>
  <conditionalFormatting sqref="B22">
    <cfRule type="expression" priority="1" dxfId="0">
      <formula>B22="OK"</formula>
    </cfRule>
    <cfRule type="expression" priority="2" dxfId="1">
      <formula>B22="ERR"</formula>
    </cfRule>
  </conditionalFormatting>
  <conditionalFormatting sqref="C22">
    <cfRule type="expression" priority="3" dxfId="0">
      <formula>C22="OK"</formula>
    </cfRule>
    <cfRule type="expression" priority="4" dxfId="1">
      <formula>C22="ERR"</formula>
    </cfRule>
  </conditionalFormatting>
  <conditionalFormatting sqref="D22">
    <cfRule type="expression" priority="5" dxfId="0">
      <formula>D22="OK"</formula>
    </cfRule>
    <cfRule type="expression" priority="6" dxfId="1">
      <formula>D22="ERR"</formula>
    </cfRule>
  </conditionalFormatting>
  <conditionalFormatting sqref="E22">
    <cfRule type="expression" priority="7" dxfId="0">
      <formula>E22="OK"</formula>
    </cfRule>
    <cfRule type="expression" priority="8" dxfId="1">
      <formula>E22="ERR"</formula>
    </cfRule>
  </conditionalFormatting>
  <conditionalFormatting sqref="F22">
    <cfRule type="expression" priority="9" dxfId="0">
      <formula>F22="OK"</formula>
    </cfRule>
    <cfRule type="expression" priority="10" dxfId="1">
      <formula>F22="ERR"</formula>
    </cfRule>
  </conditionalFormatting>
  <conditionalFormatting sqref="G22">
    <cfRule type="expression" priority="11" dxfId="0">
      <formula>G22="OK"</formula>
    </cfRule>
    <cfRule type="expression" priority="12" dxfId="1">
      <formula>G22="ERR"</formula>
    </cfRule>
  </conditionalFormatting>
  <conditionalFormatting sqref="H22">
    <cfRule type="expression" priority="13" dxfId="0">
      <formula>H22="OK"</formula>
    </cfRule>
    <cfRule type="expression" priority="14" dxfId="1">
      <formula>H22="ERR"</formula>
    </cfRule>
  </conditionalFormatting>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31" t="inlineStr">
        <is>
          <t>Status</t>
        </is>
      </c>
      <c r="B4" s="32" t="inlineStr">
        <is>
          <t>ACTUAL</t>
        </is>
      </c>
      <c r="C4" s="32" t="inlineStr">
        <is>
          <t>ACTUAL</t>
        </is>
      </c>
      <c r="D4" s="32" t="inlineStr">
        <is>
          <t>ACTUAL</t>
        </is>
      </c>
      <c r="E4" s="32" t="inlineStr">
        <is>
          <t>ACTUAL</t>
        </is>
      </c>
      <c r="F4" s="32" t="inlineStr">
        <is>
          <t>ACTUAL</t>
        </is>
      </c>
      <c r="G4" s="32" t="inlineStr">
        <is>
          <t>ACTUAL</t>
        </is>
      </c>
      <c r="H4" s="33" t="inlineStr">
        <is>
          <t>BOOKED</t>
        </is>
      </c>
      <c r="I4" s="34" t="inlineStr">
        <is>
          <t>PROJECTED</t>
        </is>
      </c>
      <c r="J4" s="34" t="inlineStr">
        <is>
          <t>PROJECTED</t>
        </is>
      </c>
      <c r="K4" s="34" t="inlineStr">
        <is>
          <t>PROJECTED</t>
        </is>
      </c>
      <c r="L4" s="34" t="inlineStr">
        <is>
          <t>PROJECTED</t>
        </is>
      </c>
      <c r="M4" s="34" t="inlineStr">
        <is>
          <t>PROJECTED</t>
        </is>
      </c>
    </row>
    <row r="5">
      <c r="A5" s="35"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6" t="inlineStr">
        <is>
          <t>Bookings</t>
        </is>
      </c>
      <c r="B6" s="37" t="n">
        <v>56</v>
      </c>
      <c r="C6" s="37" t="n">
        <v>55</v>
      </c>
      <c r="D6" s="37" t="n">
        <v>60</v>
      </c>
      <c r="E6" s="37" t="n">
        <v>69</v>
      </c>
      <c r="F6" s="37" t="n">
        <v>77</v>
      </c>
      <c r="G6" s="37" t="n">
        <v>61</v>
      </c>
      <c r="H6" s="37" t="n">
        <v>45</v>
      </c>
      <c r="I6" s="37" t="n">
        <v>66</v>
      </c>
      <c r="J6" s="37" t="n">
        <v>54</v>
      </c>
      <c r="K6" s="37" t="n">
        <v>53</v>
      </c>
      <c r="L6" s="37" t="n">
        <v>53</v>
      </c>
      <c r="M6" s="37" t="n">
        <v>58</v>
      </c>
      <c r="N6" s="38">
        <f>SUM(B6:M6)</f>
        <v/>
      </c>
    </row>
    <row r="7">
      <c r="A7" s="11" t="inlineStr">
        <is>
          <t>Nights Sold</t>
        </is>
      </c>
      <c r="B7" s="39" t="n">
        <v>140</v>
      </c>
      <c r="C7" s="39" t="n">
        <v>136</v>
      </c>
      <c r="D7" s="39" t="n">
        <v>164</v>
      </c>
      <c r="E7" s="39" t="n">
        <v>151</v>
      </c>
      <c r="F7" s="39" t="n">
        <v>169</v>
      </c>
      <c r="G7" s="39" t="n">
        <v>140</v>
      </c>
      <c r="H7" s="39" t="n">
        <v>154</v>
      </c>
      <c r="I7" s="39" t="n">
        <v>168</v>
      </c>
      <c r="J7" s="39" t="n">
        <v>136</v>
      </c>
      <c r="K7" s="39" t="n">
        <v>133</v>
      </c>
      <c r="L7" s="39" t="n">
        <v>133</v>
      </c>
      <c r="M7" s="39" t="n">
        <v>146</v>
      </c>
      <c r="N7" s="40">
        <f>SUM(B7:M7)</f>
        <v/>
      </c>
    </row>
    <row r="8">
      <c r="A8" s="36" t="inlineStr">
        <is>
          <t>Available Nights</t>
        </is>
      </c>
      <c r="B8" s="37" t="n">
        <v>186</v>
      </c>
      <c r="C8" s="37" t="n">
        <v>168</v>
      </c>
      <c r="D8" s="37" t="n">
        <v>186</v>
      </c>
      <c r="E8" s="37" t="n">
        <v>180</v>
      </c>
      <c r="F8" s="37" t="n">
        <v>186</v>
      </c>
      <c r="G8" s="37" t="n">
        <v>180</v>
      </c>
      <c r="H8" s="37" t="n">
        <v>186</v>
      </c>
      <c r="I8" s="37" t="n">
        <v>186</v>
      </c>
      <c r="J8" s="37" t="n">
        <v>180</v>
      </c>
      <c r="K8" s="37" t="n">
        <v>186</v>
      </c>
      <c r="L8" s="37" t="n">
        <v>180</v>
      </c>
      <c r="M8" s="37" t="n">
        <v>186</v>
      </c>
      <c r="N8" s="38">
        <f>SUM(B8:M8)</f>
        <v/>
      </c>
    </row>
    <row r="9">
      <c r="A9" s="11" t="inlineStr">
        <is>
          <t>Occupancy</t>
        </is>
      </c>
      <c r="B9" s="41" t="n">
        <v>0.753</v>
      </c>
      <c r="C9" s="41" t="n">
        <v>0.8100000000000001</v>
      </c>
      <c r="D9" s="41" t="n">
        <v>0.882</v>
      </c>
      <c r="E9" s="41" t="n">
        <v>0.8390000000000001</v>
      </c>
      <c r="F9" s="41" t="n">
        <v>0.909</v>
      </c>
      <c r="G9" s="41" t="n">
        <v>0.778</v>
      </c>
      <c r="H9" s="41" t="n">
        <v>0.828</v>
      </c>
      <c r="I9" s="41" t="n">
        <v>0.9009999999999999</v>
      </c>
      <c r="J9" s="41" t="n">
        <v>0.758</v>
      </c>
      <c r="K9" s="41" t="n">
        <v>0.716</v>
      </c>
      <c r="L9" s="41" t="n">
        <v>0.741</v>
      </c>
      <c r="M9" s="41" t="n">
        <v>0.7829999999999999</v>
      </c>
      <c r="N9" s="42">
        <f>AVERAGE(B9:M9)</f>
        <v/>
      </c>
    </row>
    <row r="10">
      <c r="A10" s="36" t="inlineStr">
        <is>
          <t>ADR</t>
        </is>
      </c>
      <c r="B10" s="43" t="n">
        <v>286</v>
      </c>
      <c r="C10" s="43" t="n">
        <v>398</v>
      </c>
      <c r="D10" s="43" t="n">
        <v>415</v>
      </c>
      <c r="E10" s="43" t="n">
        <v>488</v>
      </c>
      <c r="F10" s="43" t="n">
        <v>472</v>
      </c>
      <c r="G10" s="43" t="n">
        <v>550</v>
      </c>
      <c r="H10" s="43" t="n">
        <v>636</v>
      </c>
      <c r="I10" s="43" t="n">
        <v>513</v>
      </c>
      <c r="J10" s="43" t="n">
        <v>407</v>
      </c>
      <c r="K10" s="43" t="n">
        <v>385</v>
      </c>
      <c r="L10" s="43" t="n">
        <v>385</v>
      </c>
      <c r="M10" s="43" t="n">
        <v>407</v>
      </c>
      <c r="N10" s="44">
        <f>SUM(B10:M10)</f>
        <v/>
      </c>
    </row>
    <row r="11">
      <c r="A11" s="11" t="inlineStr">
        <is>
          <t>RevPAR</t>
        </is>
      </c>
      <c r="B11" s="45" t="n">
        <v>215</v>
      </c>
      <c r="C11" s="45" t="n">
        <v>322</v>
      </c>
      <c r="D11" s="45" t="n">
        <v>366</v>
      </c>
      <c r="E11" s="45" t="n">
        <v>410</v>
      </c>
      <c r="F11" s="45" t="n">
        <v>428</v>
      </c>
      <c r="G11" s="45" t="n">
        <v>428</v>
      </c>
      <c r="H11" s="45" t="n">
        <v>526</v>
      </c>
      <c r="I11" s="45" t="n">
        <v>463</v>
      </c>
      <c r="J11" s="45" t="n">
        <v>308</v>
      </c>
      <c r="K11" s="45" t="n">
        <v>275</v>
      </c>
      <c r="L11" s="45" t="n">
        <v>284</v>
      </c>
      <c r="M11" s="45" t="n">
        <v>319</v>
      </c>
      <c r="N11" s="46">
        <f>SUM(B11:M11)</f>
        <v/>
      </c>
    </row>
    <row r="12">
      <c r="A12" s="21" t="inlineStr">
        <is>
          <t>Gross Revenue</t>
        </is>
      </c>
      <c r="B12" s="47" t="n">
        <v>40041</v>
      </c>
      <c r="C12" s="47" t="n">
        <v>54065</v>
      </c>
      <c r="D12" s="47" t="n">
        <v>68024</v>
      </c>
      <c r="E12" s="47" t="n">
        <v>73746</v>
      </c>
      <c r="F12" s="47" t="n">
        <v>79700</v>
      </c>
      <c r="G12" s="47" t="n">
        <v>77046</v>
      </c>
      <c r="H12" s="47" t="n">
        <v>97877</v>
      </c>
      <c r="I12" s="47" t="n">
        <v>86184</v>
      </c>
      <c r="J12" s="47" t="n">
        <v>55352</v>
      </c>
      <c r="K12" s="47" t="n">
        <v>51205</v>
      </c>
      <c r="L12" s="47" t="n">
        <v>51205</v>
      </c>
      <c r="M12" s="47" t="n">
        <v>59422</v>
      </c>
      <c r="N12" s="44">
        <f>SUM(B12:M12)</f>
        <v/>
      </c>
    </row>
    <row r="13">
      <c r="A13" s="31" t="inlineStr">
        <is>
          <t>Net to Owner</t>
        </is>
      </c>
      <c r="B13" s="48" t="n">
        <v>35785</v>
      </c>
      <c r="C13" s="48" t="n">
        <v>48880</v>
      </c>
      <c r="D13" s="48" t="n">
        <v>61256</v>
      </c>
      <c r="E13" s="48" t="n">
        <v>64778</v>
      </c>
      <c r="F13" s="48" t="n">
        <v>69654</v>
      </c>
      <c r="G13" s="48" t="n">
        <v>67076</v>
      </c>
      <c r="H13" s="48" t="n">
        <v>85227</v>
      </c>
      <c r="I13" s="48" t="n">
        <v>75965</v>
      </c>
      <c r="J13" s="48" t="n">
        <v>48789</v>
      </c>
      <c r="K13" s="48" t="n">
        <v>45134</v>
      </c>
      <c r="L13" s="48" t="n">
        <v>45134</v>
      </c>
      <c r="M13" s="48" t="n">
        <v>52376</v>
      </c>
      <c r="N13" s="46">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2026-07-22.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9" t="inlineStr">
        <is>
          <t>Jul</t>
        </is>
      </c>
      <c r="B5" s="50" t="n">
        <v>97877</v>
      </c>
      <c r="C5" s="51" t="n">
        <v>97877</v>
      </c>
      <c r="D5" s="52" t="n">
        <v>1</v>
      </c>
      <c r="E5" s="50" t="n">
        <v>636</v>
      </c>
      <c r="F5" s="50" t="n">
        <v>526</v>
      </c>
      <c r="G5" s="50" t="n">
        <v>0</v>
      </c>
      <c r="H5" s="53" t="inlineStr">
        <is>
          <t>Fully Booked</t>
        </is>
      </c>
    </row>
    <row r="6">
      <c r="A6" s="54" t="inlineStr">
        <is>
          <t>Aug</t>
        </is>
      </c>
      <c r="B6" s="55" t="n">
        <v>86184</v>
      </c>
      <c r="C6" s="56" t="n">
        <v>39273</v>
      </c>
      <c r="D6" s="57" t="n">
        <v>0.456</v>
      </c>
      <c r="E6" s="55" t="n">
        <v>595</v>
      </c>
      <c r="F6" s="55" t="n">
        <v>211</v>
      </c>
      <c r="G6" s="55" t="n">
        <v>46911</v>
      </c>
      <c r="H6" s="58" t="inlineStr">
        <is>
          <t>Building</t>
        </is>
      </c>
    </row>
    <row r="7">
      <c r="A7" s="54" t="inlineStr">
        <is>
          <t>Sep</t>
        </is>
      </c>
      <c r="B7" s="55" t="n">
        <v>55352</v>
      </c>
      <c r="C7" s="56" t="n">
        <v>23042</v>
      </c>
      <c r="D7" s="57" t="n">
        <v>0.416</v>
      </c>
      <c r="E7" s="55" t="n">
        <v>524</v>
      </c>
      <c r="F7" s="55" t="n">
        <v>128</v>
      </c>
      <c r="G7" s="55" t="n">
        <v>32310</v>
      </c>
      <c r="H7" s="58" t="inlineStr">
        <is>
          <t>Building</t>
        </is>
      </c>
    </row>
    <row r="8">
      <c r="A8" s="31" t="inlineStr">
        <is>
          <t>Oct</t>
        </is>
      </c>
      <c r="B8" s="59" t="n">
        <v>51205</v>
      </c>
      <c r="C8" s="46" t="n">
        <v>9175</v>
      </c>
      <c r="D8" s="42" t="n">
        <v>0.179</v>
      </c>
      <c r="E8" s="59" t="n">
        <v>540</v>
      </c>
      <c r="F8" s="59" t="n">
        <v>49</v>
      </c>
      <c r="G8" s="59" t="n">
        <v>42030</v>
      </c>
      <c r="H8" s="11" t="inlineStr">
        <is>
          <t>Early</t>
        </is>
      </c>
    </row>
    <row r="9">
      <c r="A9" s="31" t="inlineStr">
        <is>
          <t>Nov</t>
        </is>
      </c>
      <c r="B9" s="59" t="n">
        <v>51205</v>
      </c>
      <c r="C9" s="46" t="n">
        <v>5590</v>
      </c>
      <c r="D9" s="42" t="n">
        <v>0.109</v>
      </c>
      <c r="E9" s="59" t="n">
        <v>508</v>
      </c>
      <c r="F9" s="59" t="n">
        <v>31</v>
      </c>
      <c r="G9" s="59" t="n">
        <v>45615</v>
      </c>
      <c r="H9" s="11" t="inlineStr">
        <is>
          <t>Early</t>
        </is>
      </c>
    </row>
    <row r="10">
      <c r="A10" s="31" t="inlineStr">
        <is>
          <t>Dec</t>
        </is>
      </c>
      <c r="B10" s="59" t="n">
        <v>59422</v>
      </c>
      <c r="C10" s="46" t="n">
        <v>5384</v>
      </c>
      <c r="D10" s="42" t="n">
        <v>0.091</v>
      </c>
      <c r="E10" s="59" t="n">
        <v>336</v>
      </c>
      <c r="F10" s="59" t="n">
        <v>29</v>
      </c>
      <c r="G10" s="59" t="n">
        <v>54038</v>
      </c>
      <c r="H10" s="11" t="inlineStr">
        <is>
          <t>Early</t>
        </is>
      </c>
    </row>
    <row r="11">
      <c r="A11" s="60" t="inlineStr">
        <is>
          <t>TOTAL</t>
        </is>
      </c>
      <c r="B11" s="61">
        <f>SUM(B5:B10)</f>
        <v/>
      </c>
      <c r="C11" s="61">
        <f>SUM(C5:C10)</f>
        <v/>
      </c>
      <c r="D11" s="62">
        <f>C11/B11</f>
        <v/>
      </c>
      <c r="E11" s="63" t="n"/>
      <c r="F11" s="63" t="n"/>
      <c r="G11" s="61">
        <f>B11-C11</f>
        <v/>
      </c>
      <c r="H11" s="63"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43"/>
  <sheetViews>
    <sheetView workbookViewId="0">
      <pane ySplit="4" topLeftCell="A5" activePane="bottomLeft" state="frozen"/>
      <selection pane="bottomLeft" activeCell="A1" sqref="A1"/>
    </sheetView>
  </sheetViews>
  <sheetFormatPr baseColWidth="8" defaultRowHeight="15"/>
  <cols>
    <col width="38" customWidth="1" min="1" max="1"/>
    <col width="18" customWidth="1" min="2" max="2"/>
    <col width="14" customWidth="1" min="3" max="3"/>
  </cols>
  <sheetData>
    <row r="1">
      <c r="A1" s="18" t="inlineStr">
        <is>
          <t>Casa Yano - 2026 Pro Forma (Blended Forecast)</t>
        </is>
      </c>
    </row>
    <row r="2">
      <c r="A2" s="3" t="inlineStr">
        <is>
          <t>Blends 6 months of closed actuals with seasonal projections calibrated from actual performance</t>
        </is>
      </c>
    </row>
    <row r="4">
      <c r="A4" s="19" t="inlineStr"/>
      <c r="B4" s="19" t="inlineStr">
        <is>
          <t>Amount</t>
        </is>
      </c>
      <c r="C4" s="19" t="inlineStr">
        <is>
          <t>% of Gross</t>
        </is>
      </c>
    </row>
    <row r="5">
      <c r="A5" s="8" t="inlineStr">
        <is>
          <t>Gross Revenue</t>
        </is>
      </c>
      <c r="B5" s="9" t="n">
        <v>793867</v>
      </c>
      <c r="C5" s="17" t="n">
        <v>1</v>
      </c>
    </row>
    <row r="6">
      <c r="A6" s="6" t="inlineStr">
        <is>
          <t xml:space="preserve">  OTA Commissions</t>
        </is>
      </c>
      <c r="B6" s="7" t="n">
        <v>-88295</v>
      </c>
      <c r="C6" s="10">
        <f>B6/B5</f>
        <v/>
      </c>
    </row>
    <row r="7">
      <c r="A7" s="6" t="inlineStr">
        <is>
          <t xml:space="preserve">  Processing Fees</t>
        </is>
      </c>
      <c r="B7" s="7" t="n">
        <v>-5518</v>
      </c>
      <c r="C7" s="10">
        <f>B7/B5</f>
        <v/>
      </c>
    </row>
    <row r="8">
      <c r="A8" s="23" t="inlineStr">
        <is>
          <t>Net to Owner</t>
        </is>
      </c>
      <c r="B8" s="24">
        <f>B5+B6+B7</f>
        <v/>
      </c>
      <c r="C8" s="64">
        <f>B8/B5</f>
        <v/>
      </c>
    </row>
    <row r="10">
      <c r="A10" s="65" t="inlineStr">
        <is>
          <t>Operating Expenses</t>
        </is>
      </c>
      <c r="B10" s="22" t="n"/>
      <c r="C10" s="22" t="n"/>
    </row>
    <row r="11">
      <c r="A11" s="6" t="inlineStr">
        <is>
          <t xml:space="preserve">  Cleaning</t>
        </is>
      </c>
      <c r="B11" s="7" t="n">
        <v>-97176</v>
      </c>
      <c r="C11" s="66">
        <f>B11/B5</f>
        <v/>
      </c>
    </row>
    <row r="12">
      <c r="A12" s="6" t="inlineStr">
        <is>
          <t xml:space="preserve">  Supplies, Maintenance, Other</t>
        </is>
      </c>
      <c r="B12" s="7" t="n">
        <v>-145765</v>
      </c>
      <c r="C12" s="66">
        <f>B12/B5</f>
        <v/>
      </c>
    </row>
    <row r="13">
      <c r="A13" s="6" t="inlineStr">
        <is>
          <t xml:space="preserve">  Management Fee (10% of Gross)</t>
        </is>
      </c>
      <c r="B13" s="7">
        <f>-0.10*B5</f>
        <v/>
      </c>
      <c r="C13" s="66">
        <f>B13/B5</f>
        <v/>
      </c>
    </row>
    <row r="14">
      <c r="A14" s="6" t="inlineStr">
        <is>
          <t xml:space="preserve">  Property Tax</t>
        </is>
      </c>
      <c r="B14" s="7" t="n">
        <v>-13340</v>
      </c>
      <c r="C14" s="66">
        <f>B14/B5</f>
        <v/>
      </c>
    </row>
    <row r="15">
      <c r="A15" s="6" t="inlineStr">
        <is>
          <t xml:space="preserve">  Insurance</t>
        </is>
      </c>
      <c r="B15" s="7" t="n">
        <v>-13500</v>
      </c>
      <c r="C15" s="66">
        <f>B15/B5</f>
        <v/>
      </c>
    </row>
    <row r="16">
      <c r="A16" s="6" t="inlineStr">
        <is>
          <t xml:space="preserve">  Other Fixed Costs (utilities, internet, etc.)</t>
        </is>
      </c>
      <c r="B16" s="7" t="n">
        <v>0</v>
      </c>
      <c r="C16" s="66">
        <f>B16/B5</f>
        <v/>
      </c>
    </row>
    <row r="17">
      <c r="A17" s="67" t="inlineStr">
        <is>
          <t>Total Operating Expenses</t>
        </is>
      </c>
      <c r="B17" s="68">
        <f>SUM(B11:B16)</f>
        <v/>
      </c>
      <c r="C17" s="69">
        <f>B17/B5</f>
        <v/>
      </c>
    </row>
    <row r="19">
      <c r="A19" s="27" t="inlineStr">
        <is>
          <t>Net Operating Income</t>
        </is>
      </c>
      <c r="B19" s="28">
        <f>B8+B17</f>
        <v/>
      </c>
      <c r="C19" s="70">
        <f>B19/B5</f>
        <v/>
      </c>
    </row>
    <row r="21">
      <c r="A21" s="4" t="inlineStr">
        <is>
          <t>RECONCILIATION CHECK</t>
        </is>
      </c>
      <c r="B21" s="5" t="n"/>
      <c r="C21" s="5" t="n"/>
    </row>
    <row r="22">
      <c r="A22" s="11" t="inlineStr">
        <is>
          <t>Expected NOI (from model)</t>
        </is>
      </c>
      <c r="B22" s="59" t="n">
        <v>350886</v>
      </c>
    </row>
    <row r="23">
      <c r="A23" s="11" t="inlineStr">
        <is>
          <t>Calculated NOI (this tab)</t>
        </is>
      </c>
      <c r="B23" s="59">
        <f>B19</f>
        <v/>
      </c>
    </row>
    <row r="24">
      <c r="A24" s="11" t="inlineStr">
        <is>
          <t>Variance</t>
        </is>
      </c>
      <c r="B24" s="59">
        <f>B23-B22</f>
        <v/>
      </c>
    </row>
    <row r="25">
      <c r="A25" s="31" t="inlineStr">
        <is>
          <t>Status</t>
        </is>
      </c>
      <c r="B25" s="31">
        <f>IF(ABS(B24)&lt;=1,"OK - reconciles","REVIEW - variance exceeds $1")</f>
        <v/>
      </c>
    </row>
    <row r="27">
      <c r="A27" s="4" t="inlineStr">
        <is>
          <t>PASS-THROUGH TAXES &amp; FEES (INFORMATIONAL)</t>
        </is>
      </c>
      <c r="B27" s="5" t="n"/>
      <c r="C27" s="5" t="n"/>
    </row>
    <row r="28">
      <c r="A28" s="3" t="inlineStr">
        <is>
          <t>The following amounts are collected from guests at booking and either remitted to the City or</t>
        </is>
      </c>
    </row>
    <row r="29">
      <c r="A29" s="3" t="inlineStr">
        <is>
          <t>offset by corresponding expenses. They are NOT deducted from Net to Owner.</t>
        </is>
      </c>
    </row>
    <row r="30">
      <c r="A30" s="6" t="inlineStr">
        <is>
          <t>TOT (Transient Occupancy Tax) collected from guests</t>
        </is>
      </c>
      <c r="B30" s="7" t="n">
        <v>77005</v>
      </c>
    </row>
    <row r="31">
      <c r="A31" s="3" t="inlineStr">
        <is>
          <t xml:space="preserve">  Remitted to City of Santa Barbara (12% lodging tax)</t>
        </is>
      </c>
    </row>
    <row r="32">
      <c r="A32" s="6" t="inlineStr">
        <is>
          <t>Cleaning fees collected from guests</t>
        </is>
      </c>
      <c r="B32" s="71" t="inlineStr">
        <is>
          <t>see Cleaning expense</t>
        </is>
      </c>
    </row>
    <row r="33">
      <c r="A33" s="3" t="inlineStr">
        <is>
          <t xml:space="preserve">  Offset by Cleaning expense above; net-neutral pass-through</t>
        </is>
      </c>
    </row>
    <row r="35">
      <c r="A35" s="4" t="inlineStr">
        <is>
          <t>MODEL INPUTS</t>
        </is>
      </c>
      <c r="B35" s="5" t="n"/>
    </row>
    <row r="36">
      <c r="A36" s="6" t="inlineStr">
        <is>
          <t>Closed Months Used for Calibration</t>
        </is>
      </c>
      <c r="B36" s="6" t="n">
        <v>6</v>
      </c>
    </row>
    <row r="37">
      <c r="A37" s="6" t="inlineStr">
        <is>
          <t>Baseline ADR (de-seasonalized)</t>
        </is>
      </c>
      <c r="B37" s="7" t="n">
        <v>428</v>
      </c>
    </row>
    <row r="38">
      <c r="A38" s="6" t="inlineStr">
        <is>
          <t>Baseline Occupancy (de-seasonalized)</t>
        </is>
      </c>
      <c r="B38" s="10" t="n">
        <v>0.8420000000000001</v>
      </c>
    </row>
    <row r="39">
      <c r="A39" s="6" t="inlineStr">
        <is>
          <t>Max Occupancy Cap</t>
        </is>
      </c>
      <c r="B39" s="10" t="n">
        <v>0.92</v>
      </c>
    </row>
    <row r="40">
      <c r="A40" s="6" t="inlineStr">
        <is>
          <t>Back-test MAPE (Gross Revenue)</t>
        </is>
      </c>
      <c r="B40" s="10" t="n">
        <v>0.105</v>
      </c>
    </row>
    <row r="42">
      <c r="A42" s="4" t="inlineStr">
        <is>
          <t>METHODOLOGY</t>
        </is>
      </c>
      <c r="B42" s="5" t="n"/>
      <c r="C42" s="5" t="n"/>
    </row>
    <row r="43" ht="90" customHeight="1">
      <c r="A43" s="72"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7">
    <mergeCell ref="A28:C28"/>
    <mergeCell ref="A33:C33"/>
    <mergeCell ref="A1:C1"/>
    <mergeCell ref="A31:C31"/>
    <mergeCell ref="A29:C29"/>
    <mergeCell ref="A43:C43"/>
    <mergeCell ref="A2:C2"/>
  </mergeCells>
  <conditionalFormatting sqref="B25">
    <cfRule type="expression" priority="1" dxfId="2">
      <formula>B25="OK - reconciles"</formula>
    </cfRule>
    <cfRule type="expression" priority="2" dxfId="3">
      <formula>NOT(B25="OK - reconciles")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2026-07-22T22:40:56Z</dcterms:created>
  <dcterms:modified xmlns:dcterms="http://purl.org/dc/terms/" xmlns:xsi="http://www.w3.org/2001/XMLSchema-instance" xsi:type="dcterms:W3CDTF">2026-07-22T22:40:56Z</dcterms:modified>
</cp:coreProperties>
</file>