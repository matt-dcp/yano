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5">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6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6" fillId="0" borderId="0" pivotButton="0" quotePrefix="0" xfId="0"/>
    <xf numFmtId="0" fontId="14" fillId="6" borderId="0" applyAlignment="1" pivotButton="0" quotePrefix="0" xfId="0">
      <alignment horizontal="center"/>
    </xf>
    <xf numFmtId="0" fontId="14" fillId="7" borderId="0" applyAlignment="1" pivotButton="0" quotePrefix="0" xfId="0">
      <alignment horizontal="center"/>
    </xf>
    <xf numFmtId="0" fontId="14"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0" fontId="0" fillId="0" borderId="2" pivotButton="0" quotePrefix="0" xfId="0"/>
    <xf numFmtId="165" fontId="6" fillId="4" borderId="2" pivotButton="0" quotePrefix="0" xfId="0"/>
    <xf numFmtId="0" fontId="6" fillId="5" borderId="2" pivotButton="0" quotePrefix="0" xfId="0"/>
    <xf numFmtId="164" fontId="6" fillId="5" borderId="2" pivotButton="0" quotePrefix="0" xfId="0"/>
    <xf numFmtId="165" fontId="6" fillId="5" borderId="2"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2026-05-08</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141</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Apr 14, 2026</t>
        </is>
      </c>
      <c r="D14" s="6" t="inlineStr">
        <is>
          <t>Projection Basis</t>
        </is>
      </c>
      <c r="E14" s="6" t="inlineStr">
        <is>
          <t>4 months actuals + seasonal model</t>
        </is>
      </c>
    </row>
    <row r="15">
      <c r="A15" s="6" t="inlineStr">
        <is>
          <t>Rental Income</t>
        </is>
      </c>
      <c r="B15" s="7" t="n">
        <v>170225.3</v>
      </c>
      <c r="D15" s="6" t="inlineStr">
        <is>
          <t>Gross Revenue</t>
        </is>
      </c>
      <c r="E15" s="7" t="n">
        <v>776028</v>
      </c>
    </row>
    <row r="16">
      <c r="A16" s="6" t="inlineStr">
        <is>
          <t>Total Operating Expenses</t>
        </is>
      </c>
      <c r="B16" s="7" t="n">
        <v>89337.99000000001</v>
      </c>
      <c r="D16" s="6" t="inlineStr">
        <is>
          <t>Net to Owner</t>
        </is>
      </c>
      <c r="E16" s="7" t="n">
        <v>686826</v>
      </c>
    </row>
    <row r="17">
      <c r="A17" s="8" t="inlineStr">
        <is>
          <t>Net Operating Income</t>
        </is>
      </c>
      <c r="B17" s="9" t="n">
        <v>80887.31</v>
      </c>
      <c r="D17" s="6" t="inlineStr">
        <is>
          <t>Total OpEx + Fixed</t>
        </is>
      </c>
      <c r="E17" s="7" t="n">
        <v>325256</v>
      </c>
    </row>
    <row r="18">
      <c r="D18" s="8" t="inlineStr">
        <is>
          <t>NOI (After Known Fixed)</t>
        </is>
      </c>
      <c r="E18" s="9" t="n">
        <v>361570</v>
      </c>
    </row>
    <row r="19">
      <c r="D19" s="6" t="inlineStr">
        <is>
          <t>Avg ADR (Blended)</t>
        </is>
      </c>
      <c r="E19" s="7" t="n">
        <v>428</v>
      </c>
    </row>
    <row r="20">
      <c r="D20" s="6" t="inlineStr">
        <is>
          <t>Avg Occupancy (Blended)</t>
        </is>
      </c>
      <c r="E20" s="10" t="n">
        <v>0.8190000000000001</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trending from 75% (Jan) to 88% (Mar) - strong ramp trajectory</t>
        </is>
      </c>
    </row>
    <row r="26">
      <c r="A26" s="11" t="inlineStr">
        <is>
          <t>•  April booked at $73,746 gross - highest month to date</t>
        </is>
      </c>
    </row>
    <row r="27">
      <c r="A27" s="11" t="inlineStr">
        <is>
          <t>•  Owner margin of 88.3% - efficient operations with low OTA commission rates</t>
        </is>
      </c>
    </row>
    <row r="28">
      <c r="A28" s="11" t="inlineStr">
        <is>
          <t>•  QBO YTD NOI of $80,887 in first 3.5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361570</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G2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8" t="inlineStr">
        <is>
          <t>Casa Yano - Profit &amp; Loss by Month (2026)</t>
        </is>
      </c>
    </row>
    <row r="2">
      <c r="A2" s="2" t="inlineStr">
        <is>
          <t>Operating data: January – May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YTD Total</t>
        </is>
      </c>
    </row>
    <row r="6">
      <c r="A6" s="21" t="inlineStr">
        <is>
          <t>INCOME</t>
        </is>
      </c>
      <c r="B6" s="22" t="n"/>
      <c r="C6" s="22" t="n"/>
      <c r="D6" s="22" t="n"/>
      <c r="E6" s="22" t="n"/>
      <c r="F6" s="22" t="n"/>
      <c r="G6" s="22" t="n"/>
    </row>
    <row r="7">
      <c r="A7" s="8" t="inlineStr">
        <is>
          <t>Gross Booking Revenue</t>
        </is>
      </c>
      <c r="B7" s="9" t="n">
        <v>40041</v>
      </c>
      <c r="C7" s="9" t="n">
        <v>54065</v>
      </c>
      <c r="D7" s="9" t="n">
        <v>68024</v>
      </c>
      <c r="E7" s="9" t="n">
        <v>73746</v>
      </c>
      <c r="F7" s="9" t="n">
        <v>65363</v>
      </c>
      <c r="G7" s="9">
        <f>SUM(B7:F7)</f>
        <v/>
      </c>
    </row>
    <row r="8">
      <c r="A8" s="23" t="inlineStr">
        <is>
          <t>Net to Owner (after OTA/taxes/fees)</t>
        </is>
      </c>
      <c r="B8" s="24" t="n">
        <v>35785</v>
      </c>
      <c r="C8" s="24" t="n">
        <v>48880</v>
      </c>
      <c r="D8" s="24" t="n">
        <v>61256</v>
      </c>
      <c r="E8" s="24" t="n">
        <v>64778</v>
      </c>
      <c r="F8" s="24" t="n">
        <v>56993</v>
      </c>
      <c r="G8" s="24">
        <f>SUM(B8:F8)</f>
        <v/>
      </c>
    </row>
    <row r="10">
      <c r="A10" s="21" t="inlineStr">
        <is>
          <t>OPERATING EXPENSES</t>
        </is>
      </c>
      <c r="B10" s="22" t="n"/>
      <c r="C10" s="22" t="n"/>
      <c r="D10" s="22" t="n"/>
      <c r="E10" s="22" t="n"/>
      <c r="F10" s="22" t="n"/>
      <c r="G10" s="22" t="n"/>
    </row>
    <row r="11">
      <c r="A11" s="6" t="inlineStr">
        <is>
          <t xml:space="preserve">  Cleaning</t>
        </is>
      </c>
      <c r="B11" s="7" t="n">
        <v>8483</v>
      </c>
      <c r="C11" s="7" t="n">
        <v>5790</v>
      </c>
      <c r="D11" s="7" t="n">
        <v>7028</v>
      </c>
      <c r="E11" s="7" t="n">
        <v>7020</v>
      </c>
      <c r="F11" s="7" t="n">
        <v>0</v>
      </c>
      <c r="G11" s="7">
        <f>SUM(B11:F11)</f>
        <v/>
      </c>
    </row>
    <row r="12">
      <c r="A12" s="6" t="inlineStr">
        <is>
          <t xml:space="preserve">  Supplies</t>
        </is>
      </c>
      <c r="B12" s="7" t="n">
        <v>6140</v>
      </c>
      <c r="C12" s="7" t="n">
        <v>912</v>
      </c>
      <c r="D12" s="7" t="n">
        <v>2213</v>
      </c>
      <c r="E12" s="7" t="n">
        <v>607</v>
      </c>
      <c r="F12" s="7" t="n">
        <v>0</v>
      </c>
      <c r="G12" s="7">
        <f>SUM(B12:F12)</f>
        <v/>
      </c>
    </row>
    <row r="13">
      <c r="A13" s="6" t="inlineStr">
        <is>
          <t xml:space="preserve">  Repairs &amp; Maintenance</t>
        </is>
      </c>
      <c r="B13" s="7" t="n">
        <v>572</v>
      </c>
      <c r="C13" s="7" t="n">
        <v>285</v>
      </c>
      <c r="D13" s="7" t="n">
        <v>1240</v>
      </c>
      <c r="E13" s="7" t="n">
        <v>450</v>
      </c>
      <c r="F13" s="7" t="n">
        <v>0</v>
      </c>
      <c r="G13" s="7">
        <f>SUM(B13:F13)</f>
        <v/>
      </c>
    </row>
    <row r="14">
      <c r="A14" s="6" t="inlineStr">
        <is>
          <t xml:space="preserve">  Management Fee</t>
        </is>
      </c>
      <c r="B14" s="7" t="n">
        <v>4229</v>
      </c>
      <c r="C14" s="7" t="n">
        <v>4522</v>
      </c>
      <c r="D14" s="7" t="n">
        <v>5542</v>
      </c>
      <c r="E14" s="7" t="n">
        <v>7662</v>
      </c>
      <c r="F14" s="7" t="n">
        <v>58</v>
      </c>
      <c r="G14" s="7">
        <f>SUM(B14:F14)</f>
        <v/>
      </c>
    </row>
    <row r="15">
      <c r="A15" s="6" t="inlineStr">
        <is>
          <t xml:space="preserve">  Marketing &amp; Advertising</t>
        </is>
      </c>
      <c r="B15" s="7" t="n">
        <v>2410</v>
      </c>
      <c r="C15" s="7" t="n">
        <v>0</v>
      </c>
      <c r="D15" s="7" t="n">
        <v>325</v>
      </c>
      <c r="E15" s="7" t="n">
        <v>25</v>
      </c>
      <c r="F15" s="7" t="n">
        <v>0</v>
      </c>
      <c r="G15" s="7">
        <f>SUM(B15:F15)</f>
        <v/>
      </c>
    </row>
    <row r="16">
      <c r="A16" s="6" t="inlineStr">
        <is>
          <t xml:space="preserve">  Taxes &amp; Licenses</t>
        </is>
      </c>
      <c r="B16" s="7" t="n">
        <v>1853</v>
      </c>
      <c r="C16" s="7" t="n">
        <v>5535</v>
      </c>
      <c r="D16" s="7" t="n">
        <v>5953</v>
      </c>
      <c r="E16" s="7" t="n">
        <v>8410</v>
      </c>
      <c r="F16" s="7" t="n">
        <v>0</v>
      </c>
      <c r="G16" s="7">
        <f>SUM(B16:F16)</f>
        <v/>
      </c>
    </row>
    <row r="17">
      <c r="A17" s="6" t="inlineStr">
        <is>
          <t xml:space="preserve">  Other</t>
        </is>
      </c>
      <c r="B17" s="7" t="n">
        <v>252</v>
      </c>
      <c r="C17" s="7" t="n">
        <v>908</v>
      </c>
      <c r="D17" s="7" t="n">
        <v>285</v>
      </c>
      <c r="E17" s="7" t="n">
        <v>617</v>
      </c>
      <c r="F17" s="7" t="n">
        <v>0</v>
      </c>
      <c r="G17" s="7">
        <f>SUM(B17:F17)</f>
        <v/>
      </c>
    </row>
    <row r="18">
      <c r="A18" s="25" t="inlineStr">
        <is>
          <t>Total Operating Expenses</t>
        </is>
      </c>
      <c r="B18" s="26" t="n">
        <v>26905</v>
      </c>
      <c r="C18" s="26" t="n">
        <v>18060</v>
      </c>
      <c r="D18" s="26" t="n">
        <v>23590</v>
      </c>
      <c r="E18" s="26" t="n">
        <v>24911</v>
      </c>
      <c r="F18" s="26" t="n">
        <v>58</v>
      </c>
      <c r="G18" s="26">
        <f>SUM(B18:F18)</f>
        <v/>
      </c>
    </row>
    <row r="20">
      <c r="A20" s="27" t="inlineStr">
        <is>
          <t>Net Operating Income</t>
        </is>
      </c>
      <c r="B20" s="28" t="n">
        <v>8880</v>
      </c>
      <c r="C20" s="28" t="n">
        <v>30820</v>
      </c>
      <c r="D20" s="28" t="n">
        <v>37666</v>
      </c>
      <c r="E20" s="28" t="n">
        <v>39867</v>
      </c>
      <c r="F20" s="28" t="n">
        <v>56935</v>
      </c>
      <c r="G20" s="28">
        <f>SUM(B20:F20)</f>
        <v/>
      </c>
    </row>
    <row r="23">
      <c r="A23" s="4" t="inlineStr">
        <is>
          <t>QBO RECONCILIATION</t>
        </is>
      </c>
      <c r="B23" s="5" t="n"/>
      <c r="C23" s="5" t="n"/>
      <c r="D23" s="5" t="n"/>
      <c r="E23" s="5" t="n"/>
      <c r="F23" s="5" t="n"/>
      <c r="G23" s="5" t="n"/>
    </row>
    <row r="24">
      <c r="A24" s="3" t="inlineStr">
        <is>
          <t>QBO YTD Rental Income (Jan 1 – Apr 14): $170,225</t>
        </is>
      </c>
    </row>
    <row r="25">
      <c r="A25" s="3" t="inlineStr">
        <is>
          <t>QBO YTD Total Expenses: $89,338  |  QBO YTD NOI: $80,887</t>
        </is>
      </c>
    </row>
    <row r="26">
      <c r="A26" s="3" t="inlineStr">
        <is>
          <t>Note: Minor variances between PMS and QBO are expected due to cash vs accrual timing and partial-month cutoffs.</t>
        </is>
      </c>
    </row>
  </sheetData>
  <mergeCells count="6">
    <mergeCell ref="A1:G1"/>
    <mergeCell ref="A3:G3"/>
    <mergeCell ref="A26:G26"/>
    <mergeCell ref="A24:G24"/>
    <mergeCell ref="A2:G2"/>
    <mergeCell ref="A25:G25"/>
  </mergeCells>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29" t="inlineStr">
        <is>
          <t>Status</t>
        </is>
      </c>
      <c r="B4" s="30" t="inlineStr">
        <is>
          <t>ACTUAL</t>
        </is>
      </c>
      <c r="C4" s="30" t="inlineStr">
        <is>
          <t>ACTUAL</t>
        </is>
      </c>
      <c r="D4" s="30" t="inlineStr">
        <is>
          <t>ACTUAL</t>
        </is>
      </c>
      <c r="E4" s="30" t="inlineStr">
        <is>
          <t>ACTUAL</t>
        </is>
      </c>
      <c r="F4" s="31" t="inlineStr">
        <is>
          <t>BOOKED</t>
        </is>
      </c>
      <c r="G4" s="32" t="inlineStr">
        <is>
          <t>PROJECTED</t>
        </is>
      </c>
      <c r="H4" s="32" t="inlineStr">
        <is>
          <t>PROJECTED</t>
        </is>
      </c>
      <c r="I4" s="32" t="inlineStr">
        <is>
          <t>PROJECTED</t>
        </is>
      </c>
      <c r="J4" s="32" t="inlineStr">
        <is>
          <t>PROJECTED</t>
        </is>
      </c>
      <c r="K4" s="32" t="inlineStr">
        <is>
          <t>PROJECTED</t>
        </is>
      </c>
      <c r="L4" s="32" t="inlineStr">
        <is>
          <t>PROJECTED</t>
        </is>
      </c>
      <c r="M4" s="32" t="inlineStr">
        <is>
          <t>PROJECTED</t>
        </is>
      </c>
    </row>
    <row r="5">
      <c r="A5" s="33"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4" t="inlineStr">
        <is>
          <t>Bookings</t>
        </is>
      </c>
      <c r="B6" s="35" t="n">
        <v>56</v>
      </c>
      <c r="C6" s="35" t="n">
        <v>55</v>
      </c>
      <c r="D6" s="35" t="n">
        <v>60</v>
      </c>
      <c r="E6" s="35" t="n">
        <v>69</v>
      </c>
      <c r="F6" s="35" t="n">
        <v>59</v>
      </c>
      <c r="G6" s="35" t="n">
        <v>64</v>
      </c>
      <c r="H6" s="35" t="n">
        <v>66</v>
      </c>
      <c r="I6" s="35" t="n">
        <v>66</v>
      </c>
      <c r="J6" s="35" t="n">
        <v>53</v>
      </c>
      <c r="K6" s="35" t="n">
        <v>52</v>
      </c>
      <c r="L6" s="35" t="n">
        <v>52</v>
      </c>
      <c r="M6" s="35" t="n">
        <v>57</v>
      </c>
      <c r="N6" s="36">
        <f>SUM(B6:M6)</f>
        <v/>
      </c>
    </row>
    <row r="7">
      <c r="A7" s="11" t="inlineStr">
        <is>
          <t>Nights Sold</t>
        </is>
      </c>
      <c r="B7" s="37" t="n">
        <v>140</v>
      </c>
      <c r="C7" s="37" t="n">
        <v>136</v>
      </c>
      <c r="D7" s="37" t="n">
        <v>164</v>
      </c>
      <c r="E7" s="37" t="n">
        <v>151</v>
      </c>
      <c r="F7" s="37" t="n">
        <v>141</v>
      </c>
      <c r="G7" s="37" t="n">
        <v>165</v>
      </c>
      <c r="H7" s="37" t="n">
        <v>171</v>
      </c>
      <c r="I7" s="37" t="n">
        <v>170</v>
      </c>
      <c r="J7" s="37" t="n">
        <v>138</v>
      </c>
      <c r="K7" s="37" t="n">
        <v>135</v>
      </c>
      <c r="L7" s="37" t="n">
        <v>135</v>
      </c>
      <c r="M7" s="37" t="n">
        <v>148</v>
      </c>
      <c r="N7" s="38">
        <f>SUM(B7:M7)</f>
        <v/>
      </c>
    </row>
    <row r="8">
      <c r="A8" s="34" t="inlineStr">
        <is>
          <t>Available Nights</t>
        </is>
      </c>
      <c r="B8" s="35" t="n">
        <v>186</v>
      </c>
      <c r="C8" s="35" t="n">
        <v>168</v>
      </c>
      <c r="D8" s="35" t="n">
        <v>186</v>
      </c>
      <c r="E8" s="35" t="n">
        <v>180</v>
      </c>
      <c r="F8" s="35" t="n">
        <v>186</v>
      </c>
      <c r="G8" s="35" t="n">
        <v>180</v>
      </c>
      <c r="H8" s="35" t="n">
        <v>186</v>
      </c>
      <c r="I8" s="35" t="n">
        <v>186</v>
      </c>
      <c r="J8" s="35" t="n">
        <v>180</v>
      </c>
      <c r="K8" s="35" t="n">
        <v>186</v>
      </c>
      <c r="L8" s="35" t="n">
        <v>180</v>
      </c>
      <c r="M8" s="35" t="n">
        <v>186</v>
      </c>
      <c r="N8" s="36">
        <f>SUM(B8:M8)</f>
        <v/>
      </c>
    </row>
    <row r="9">
      <c r="A9" s="11" t="inlineStr">
        <is>
          <t>Occupancy</t>
        </is>
      </c>
      <c r="B9" s="39" t="n">
        <v>0.753</v>
      </c>
      <c r="C9" s="39" t="n">
        <v>0.8100000000000001</v>
      </c>
      <c r="D9" s="39" t="n">
        <v>0.882</v>
      </c>
      <c r="E9" s="39" t="n">
        <v>0.8390000000000001</v>
      </c>
      <c r="F9" s="39" t="n">
        <v>0.758</v>
      </c>
      <c r="G9" s="39" t="n">
        <v>0.914</v>
      </c>
      <c r="H9" s="39" t="n">
        <v>0.92</v>
      </c>
      <c r="I9" s="39" t="n">
        <v>0.914</v>
      </c>
      <c r="J9" s="39" t="n">
        <v>0.769</v>
      </c>
      <c r="K9" s="39" t="n">
        <v>0.726</v>
      </c>
      <c r="L9" s="39" t="n">
        <v>0.752</v>
      </c>
      <c r="M9" s="39" t="n">
        <v>0.795</v>
      </c>
      <c r="N9" s="40">
        <f>AVERAGE(B9:M9)</f>
        <v/>
      </c>
    </row>
    <row r="10">
      <c r="A10" s="34" t="inlineStr">
        <is>
          <t>ADR</t>
        </is>
      </c>
      <c r="B10" s="41" t="n">
        <v>286</v>
      </c>
      <c r="C10" s="41" t="n">
        <v>398</v>
      </c>
      <c r="D10" s="41" t="n">
        <v>415</v>
      </c>
      <c r="E10" s="41" t="n">
        <v>488</v>
      </c>
      <c r="F10" s="41" t="n">
        <v>464</v>
      </c>
      <c r="G10" s="41" t="n">
        <v>504</v>
      </c>
      <c r="H10" s="41" t="n">
        <v>525</v>
      </c>
      <c r="I10" s="41" t="n">
        <v>504</v>
      </c>
      <c r="J10" s="41" t="n">
        <v>399</v>
      </c>
      <c r="K10" s="41" t="n">
        <v>378</v>
      </c>
      <c r="L10" s="41" t="n">
        <v>378</v>
      </c>
      <c r="M10" s="41" t="n">
        <v>399</v>
      </c>
      <c r="N10" s="42">
        <f>SUM(B10:M10)</f>
        <v/>
      </c>
    </row>
    <row r="11">
      <c r="A11" s="11" t="inlineStr">
        <is>
          <t>RevPAR</t>
        </is>
      </c>
      <c r="B11" s="43" t="n">
        <v>215</v>
      </c>
      <c r="C11" s="43" t="n">
        <v>322</v>
      </c>
      <c r="D11" s="43" t="n">
        <v>366</v>
      </c>
      <c r="E11" s="43" t="n">
        <v>410</v>
      </c>
      <c r="F11" s="43" t="n">
        <v>351</v>
      </c>
      <c r="G11" s="43" t="n">
        <v>462</v>
      </c>
      <c r="H11" s="43" t="n">
        <v>483</v>
      </c>
      <c r="I11" s="43" t="n">
        <v>461</v>
      </c>
      <c r="J11" s="43" t="n">
        <v>306</v>
      </c>
      <c r="K11" s="43" t="n">
        <v>274</v>
      </c>
      <c r="L11" s="43" t="n">
        <v>284</v>
      </c>
      <c r="M11" s="43" t="n">
        <v>317</v>
      </c>
      <c r="N11" s="44">
        <f>SUM(B11:M11)</f>
        <v/>
      </c>
    </row>
    <row r="12">
      <c r="A12" s="21" t="inlineStr">
        <is>
          <t>Gross Revenue</t>
        </is>
      </c>
      <c r="B12" s="45" t="n">
        <v>40041</v>
      </c>
      <c r="C12" s="45" t="n">
        <v>54065</v>
      </c>
      <c r="D12" s="45" t="n">
        <v>68024</v>
      </c>
      <c r="E12" s="45" t="n">
        <v>73746</v>
      </c>
      <c r="F12" s="45" t="n">
        <v>65363</v>
      </c>
      <c r="G12" s="45" t="n">
        <v>83160</v>
      </c>
      <c r="H12" s="45" t="n">
        <v>89775</v>
      </c>
      <c r="I12" s="45" t="n">
        <v>85680</v>
      </c>
      <c r="J12" s="45" t="n">
        <v>55062</v>
      </c>
      <c r="K12" s="45" t="n">
        <v>51030</v>
      </c>
      <c r="L12" s="45" t="n">
        <v>51030</v>
      </c>
      <c r="M12" s="45" t="n">
        <v>59052</v>
      </c>
      <c r="N12" s="42">
        <f>SUM(B12:M12)</f>
        <v/>
      </c>
    </row>
    <row r="13">
      <c r="A13" s="29" t="inlineStr">
        <is>
          <t>Net to Owner</t>
        </is>
      </c>
      <c r="B13" s="46" t="n">
        <v>35785</v>
      </c>
      <c r="C13" s="46" t="n">
        <v>48880</v>
      </c>
      <c r="D13" s="46" t="n">
        <v>61256</v>
      </c>
      <c r="E13" s="46" t="n">
        <v>64778</v>
      </c>
      <c r="F13" s="46" t="n">
        <v>56993</v>
      </c>
      <c r="G13" s="46" t="n">
        <v>73412</v>
      </c>
      <c r="H13" s="46" t="n">
        <v>79251</v>
      </c>
      <c r="I13" s="46" t="n">
        <v>75637</v>
      </c>
      <c r="J13" s="46" t="n">
        <v>48608</v>
      </c>
      <c r="K13" s="46" t="n">
        <v>45048</v>
      </c>
      <c r="L13" s="46" t="n">
        <v>45048</v>
      </c>
      <c r="M13" s="46" t="n">
        <v>52130</v>
      </c>
      <c r="N13" s="44">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2026-05-08.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7" t="inlineStr">
        <is>
          <t>May</t>
        </is>
      </c>
      <c r="B5" s="48" t="n">
        <v>65363</v>
      </c>
      <c r="C5" s="49" t="n">
        <v>65363</v>
      </c>
      <c r="D5" s="50" t="n">
        <v>1</v>
      </c>
      <c r="E5" s="48" t="n">
        <v>464</v>
      </c>
      <c r="F5" s="48" t="n">
        <v>351</v>
      </c>
      <c r="G5" s="48" t="n">
        <v>0</v>
      </c>
      <c r="H5" s="51" t="inlineStr">
        <is>
          <t>Fully Booked</t>
        </is>
      </c>
    </row>
    <row r="6">
      <c r="A6" s="52" t="inlineStr">
        <is>
          <t>Jun</t>
        </is>
      </c>
      <c r="B6" s="53" t="n">
        <v>83160</v>
      </c>
      <c r="C6" s="54" t="n">
        <v>40778</v>
      </c>
      <c r="D6" s="55" t="n">
        <v>0.49</v>
      </c>
      <c r="E6" s="53" t="n">
        <v>551</v>
      </c>
      <c r="F6" s="53" t="n">
        <v>227</v>
      </c>
      <c r="G6" s="53" t="n">
        <v>42382</v>
      </c>
      <c r="H6" s="56" t="inlineStr">
        <is>
          <t>Building</t>
        </is>
      </c>
    </row>
    <row r="7">
      <c r="A7" s="52" t="inlineStr">
        <is>
          <t>Jul</t>
        </is>
      </c>
      <c r="B7" s="53" t="n">
        <v>89775</v>
      </c>
      <c r="C7" s="54" t="n">
        <v>40625</v>
      </c>
      <c r="D7" s="55" t="n">
        <v>0.453</v>
      </c>
      <c r="E7" s="53" t="n">
        <v>557</v>
      </c>
      <c r="F7" s="53" t="n">
        <v>218</v>
      </c>
      <c r="G7" s="53" t="n">
        <v>49150</v>
      </c>
      <c r="H7" s="56" t="inlineStr">
        <is>
          <t>Building</t>
        </is>
      </c>
    </row>
    <row r="8">
      <c r="A8" s="29" t="inlineStr">
        <is>
          <t>Aug</t>
        </is>
      </c>
      <c r="B8" s="57" t="n">
        <v>85680</v>
      </c>
      <c r="C8" s="44" t="n">
        <v>11830</v>
      </c>
      <c r="D8" s="40" t="n">
        <v>0.138</v>
      </c>
      <c r="E8" s="57" t="n">
        <v>473</v>
      </c>
      <c r="F8" s="57" t="n">
        <v>64</v>
      </c>
      <c r="G8" s="57" t="n">
        <v>73850</v>
      </c>
      <c r="H8" s="11" t="inlineStr">
        <is>
          <t>Early</t>
        </is>
      </c>
    </row>
    <row r="9">
      <c r="A9" s="52" t="inlineStr">
        <is>
          <t>Sep</t>
        </is>
      </c>
      <c r="B9" s="53" t="n">
        <v>55062</v>
      </c>
      <c r="C9" s="54" t="n">
        <v>17258</v>
      </c>
      <c r="D9" s="55" t="n">
        <v>0.313</v>
      </c>
      <c r="E9" s="53" t="n">
        <v>479</v>
      </c>
      <c r="F9" s="53" t="n">
        <v>96</v>
      </c>
      <c r="G9" s="53" t="n">
        <v>37804</v>
      </c>
      <c r="H9" s="56" t="inlineStr">
        <is>
          <t>Building</t>
        </is>
      </c>
    </row>
    <row r="10">
      <c r="A10" s="29" t="inlineStr">
        <is>
          <t>Oct</t>
        </is>
      </c>
      <c r="B10" s="57" t="n">
        <v>51030</v>
      </c>
      <c r="C10" s="44" t="n">
        <v>6759</v>
      </c>
      <c r="D10" s="40" t="n">
        <v>0.132</v>
      </c>
      <c r="E10" s="57" t="n">
        <v>483</v>
      </c>
      <c r="F10" s="57" t="n">
        <v>36</v>
      </c>
      <c r="G10" s="57" t="n">
        <v>44271</v>
      </c>
      <c r="H10" s="11" t="inlineStr">
        <is>
          <t>Early</t>
        </is>
      </c>
    </row>
    <row r="11">
      <c r="A11" s="29" t="inlineStr">
        <is>
          <t>Nov</t>
        </is>
      </c>
      <c r="B11" s="57" t="n">
        <v>51030</v>
      </c>
      <c r="C11" s="44" t="n">
        <v>2251</v>
      </c>
      <c r="D11" s="40" t="n">
        <v>0.044</v>
      </c>
      <c r="E11" s="57" t="n">
        <v>450</v>
      </c>
      <c r="F11" s="57" t="n">
        <v>13</v>
      </c>
      <c r="G11" s="57" t="n">
        <v>48779</v>
      </c>
      <c r="H11" s="11" t="inlineStr">
        <is>
          <t>Early</t>
        </is>
      </c>
    </row>
    <row r="12">
      <c r="A12" s="29" t="inlineStr">
        <is>
          <t>Dec</t>
        </is>
      </c>
      <c r="B12" s="57" t="n">
        <v>59052</v>
      </c>
      <c r="C12" s="44" t="n">
        <v>3729</v>
      </c>
      <c r="D12" s="40" t="n">
        <v>0.063</v>
      </c>
      <c r="E12" s="57" t="n">
        <v>339</v>
      </c>
      <c r="F12" s="57" t="n">
        <v>20</v>
      </c>
      <c r="G12" s="57" t="n">
        <v>55323</v>
      </c>
      <c r="H12" s="11" t="inlineStr">
        <is>
          <t>Early</t>
        </is>
      </c>
    </row>
    <row r="13">
      <c r="A13" s="58" t="inlineStr">
        <is>
          <t>TOTAL</t>
        </is>
      </c>
      <c r="B13" s="59">
        <f>SUM(B5:B12)</f>
        <v/>
      </c>
      <c r="C13" s="59">
        <f>SUM(C5:C12)</f>
        <v/>
      </c>
      <c r="D13" s="60">
        <f>C13/B13</f>
        <v/>
      </c>
      <c r="E13" s="61" t="n"/>
      <c r="F13" s="61" t="n"/>
      <c r="G13" s="59">
        <f>B13-C13</f>
        <v/>
      </c>
      <c r="H13" s="61"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25"/>
  <sheetViews>
    <sheetView workbookViewId="0">
      <pane ySplit="4" topLeftCell="A5" activePane="bottomLeft" state="frozen"/>
      <selection pane="bottomLeft" activeCell="A1" sqref="A1"/>
    </sheetView>
  </sheetViews>
  <sheetFormatPr baseColWidth="8" defaultRowHeight="15"/>
  <cols>
    <col width="30" customWidth="1" min="1" max="1"/>
    <col width="18" customWidth="1" min="2" max="2"/>
    <col width="14" customWidth="1" min="3" max="3"/>
  </cols>
  <sheetData>
    <row r="1">
      <c r="A1" s="18" t="inlineStr">
        <is>
          <t>Casa Yano - 2026 Pro Forma (Blended Forecast)</t>
        </is>
      </c>
    </row>
    <row r="2">
      <c r="A2" s="3" t="inlineStr">
        <is>
          <t>Blends 4 months of closed actuals with seasonal projections calibrated from actual performance</t>
        </is>
      </c>
    </row>
    <row r="4">
      <c r="A4" s="19" t="inlineStr"/>
      <c r="B4" s="19" t="inlineStr">
        <is>
          <t>Amount</t>
        </is>
      </c>
      <c r="C4" s="19" t="inlineStr">
        <is>
          <t>% of Gross</t>
        </is>
      </c>
    </row>
    <row r="5">
      <c r="A5" s="8" t="inlineStr">
        <is>
          <t>Gross Revenue</t>
        </is>
      </c>
      <c r="B5" s="9" t="n">
        <v>776028</v>
      </c>
      <c r="C5" s="17" t="n">
        <v>1</v>
      </c>
    </row>
    <row r="6">
      <c r="A6" s="6" t="inlineStr">
        <is>
          <t xml:space="preserve">  OTA Commissions</t>
        </is>
      </c>
      <c r="B6" s="7" t="n">
        <v>-87452</v>
      </c>
      <c r="C6" s="62" t="n"/>
    </row>
    <row r="7">
      <c r="A7" s="6" t="inlineStr">
        <is>
          <t xml:space="preserve">  Taxes (TOT)</t>
        </is>
      </c>
      <c r="B7" s="7" t="n">
        <v>-75151</v>
      </c>
      <c r="C7" s="62" t="n"/>
    </row>
    <row r="8">
      <c r="A8" s="6" t="inlineStr">
        <is>
          <t xml:space="preserve">  Processing Fees</t>
        </is>
      </c>
      <c r="B8" s="7" t="n">
        <v>-5806</v>
      </c>
      <c r="C8" s="62" t="n"/>
    </row>
    <row r="9">
      <c r="A9" s="23" t="inlineStr">
        <is>
          <t>Net to Owner</t>
        </is>
      </c>
      <c r="B9" s="24" t="n">
        <v>686826</v>
      </c>
      <c r="C9" s="63" t="n">
        <v>0.8850531166401212</v>
      </c>
    </row>
    <row r="10">
      <c r="A10" s="6" t="inlineStr">
        <is>
          <t xml:space="preserve">  Direct OpEx (Cleaning, Supplies, etc.)</t>
        </is>
      </c>
      <c r="B10" s="7" t="n">
        <v>-183474</v>
      </c>
      <c r="C10" s="62" t="n"/>
    </row>
    <row r="11">
      <c r="A11" s="6" t="inlineStr">
        <is>
          <t xml:space="preserve">  Management Fee (10%)</t>
        </is>
      </c>
      <c r="B11" s="7" t="n">
        <v>-77603</v>
      </c>
      <c r="C11" s="62" t="n"/>
    </row>
    <row r="12">
      <c r="A12" s="6" t="inlineStr">
        <is>
          <t xml:space="preserve">  Property Tax</t>
        </is>
      </c>
      <c r="B12" s="7" t="n">
        <v>-26679</v>
      </c>
      <c r="C12" s="62" t="n"/>
    </row>
    <row r="13">
      <c r="A13" s="6" t="inlineStr">
        <is>
          <t xml:space="preserve">  Insurance</t>
        </is>
      </c>
      <c r="B13" s="7" t="n">
        <v>-13500</v>
      </c>
      <c r="C13" s="62" t="n"/>
    </row>
    <row r="14">
      <c r="A14" s="6" t="inlineStr">
        <is>
          <t xml:space="preserve">  Other Fixed Costs</t>
        </is>
      </c>
      <c r="B14" s="7" t="n">
        <v>-24000</v>
      </c>
      <c r="C14" s="62" t="n"/>
    </row>
    <row r="15">
      <c r="A15" s="64" t="inlineStr">
        <is>
          <t>Net Operating Income</t>
        </is>
      </c>
      <c r="B15" s="65" t="n">
        <v>361570</v>
      </c>
      <c r="C15" s="66" t="n">
        <v>0.4659239099620117</v>
      </c>
    </row>
    <row r="17">
      <c r="A17" s="4" t="inlineStr">
        <is>
          <t>MODEL INPUTS</t>
        </is>
      </c>
      <c r="B17" s="5" t="n"/>
    </row>
    <row r="18">
      <c r="A18" s="6" t="inlineStr">
        <is>
          <t>Closed Months Used for Calibration</t>
        </is>
      </c>
      <c r="B18" s="6" t="n">
        <v>4</v>
      </c>
    </row>
    <row r="19">
      <c r="A19" s="6" t="inlineStr">
        <is>
          <t>Baseline ADR (de-seasonalized)</t>
        </is>
      </c>
      <c r="B19" s="7" t="n">
        <v>420</v>
      </c>
    </row>
    <row r="20">
      <c r="A20" s="6" t="inlineStr">
        <is>
          <t>Baseline Occupancy (de-seasonalized)</t>
        </is>
      </c>
      <c r="B20" s="10" t="n">
        <v>0.855</v>
      </c>
    </row>
    <row r="21">
      <c r="A21" s="6" t="inlineStr">
        <is>
          <t>Max Occupancy Cap</t>
        </is>
      </c>
      <c r="B21" s="10" t="n">
        <v>0.92</v>
      </c>
    </row>
    <row r="22">
      <c r="A22" s="6" t="inlineStr">
        <is>
          <t>Back-test MAPE (Gross Revenue)</t>
        </is>
      </c>
      <c r="B22" s="10" t="n">
        <v>0.168</v>
      </c>
    </row>
    <row r="24">
      <c r="A24" s="4" t="inlineStr">
        <is>
          <t>METHODOLOGY</t>
        </is>
      </c>
      <c r="B24" s="5" t="n"/>
      <c r="C24" s="5" t="n"/>
    </row>
    <row r="25" ht="90" customHeight="1">
      <c r="A25" s="67"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3">
    <mergeCell ref="A1:C1"/>
    <mergeCell ref="A25:C25"/>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2026-05-08T13:23:28Z</dcterms:created>
  <dcterms:modified xmlns:dcterms="http://purl.org/dc/terms/" xmlns:xsi="http://www.w3.org/2001/XMLSchema-instance" xsi:type="dcterms:W3CDTF">2026-05-08T13:23:28Z</dcterms:modified>
</cp:coreProperties>
</file>