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Project History" sheetId="2" state="visible" r:id="rId2"/>
    <sheet xmlns:r="http://schemas.openxmlformats.org/officeDocument/2006/relationships" name="P&amp;L (2026 YTD)" sheetId="3" state="visible" r:id="rId3"/>
    <sheet xmlns:r="http://schemas.openxmlformats.org/officeDocument/2006/relationships" name="Operating Detail" sheetId="4" state="visible" r:id="rId4"/>
    <sheet xmlns:r="http://schemas.openxmlformats.org/officeDocument/2006/relationships" name="Forward Bookings" sheetId="5" state="visible" r:id="rId5"/>
    <sheet xmlns:r="http://schemas.openxmlformats.org/officeDocument/2006/relationships" name="Pro Forma" sheetId="6" state="visible" r:id="rId6"/>
  </sheets>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15">
    <font>
      <name val="Calibri"/>
      <family val="2"/>
      <color theme="1"/>
      <sz val="11"/>
      <scheme val="minor"/>
    </font>
    <font>
      <name val="Arial"/>
      <b val="1"/>
      <color rgb="002D2D2D"/>
      <sz val="18"/>
    </font>
    <font>
      <name val="Arial"/>
      <color rgb="00666666"/>
      <sz val="11"/>
    </font>
    <font>
      <name val="Arial"/>
      <color rgb="00999999"/>
      <sz val="9"/>
    </font>
    <font>
      <name val="Arial"/>
      <b val="1"/>
      <color rgb="002D2D2D"/>
      <sz val="12"/>
    </font>
    <font>
      <name val="Arial"/>
      <color rgb="00333333"/>
      <sz val="10"/>
    </font>
    <font>
      <name val="Arial"/>
      <b val="1"/>
      <color rgb="00333333"/>
      <sz val="10"/>
    </font>
    <font>
      <name val="Arial"/>
      <b val="1"/>
      <color rgb="002D2D2D"/>
      <sz val="11"/>
    </font>
    <font>
      <name val="Arial"/>
      <color rgb="00008000"/>
      <sz val="10"/>
    </font>
    <font>
      <name val="Arial"/>
      <b val="1"/>
      <color rgb="004CAF50"/>
      <sz val="11"/>
    </font>
    <font>
      <name val="Arial"/>
      <b val="1"/>
      <color rgb="002D2D2D"/>
      <sz val="14"/>
    </font>
    <font>
      <name val="Arial"/>
      <b val="1"/>
      <color rgb="00FFFFFF"/>
      <sz val="11"/>
    </font>
    <font>
      <name val="Arial"/>
      <b val="1"/>
      <color rgb="00E53935"/>
      <sz val="11"/>
    </font>
    <font>
      <name val="Arial"/>
      <b val="1"/>
      <color rgb="002D8B2D"/>
      <sz val="12"/>
    </font>
    <font>
      <name val="Arial"/>
      <b val="1"/>
      <color rgb="00FFFFFF"/>
      <sz val="9"/>
    </font>
  </fonts>
  <fills count="10">
    <fill>
      <patternFill/>
    </fill>
    <fill>
      <patternFill patternType="gray125"/>
    </fill>
    <fill>
      <patternFill patternType="solid">
        <fgColor rgb="002D2D2D"/>
      </patternFill>
    </fill>
    <fill>
      <patternFill patternType="solid">
        <fgColor rgb="00F5F5F5"/>
      </patternFill>
    </fill>
    <fill>
      <patternFill patternType="solid">
        <fgColor rgb="00F5ECD7"/>
      </patternFill>
    </fill>
    <fill>
      <patternFill patternType="solid">
        <fgColor rgb="00E8F5E9"/>
      </patternFill>
    </fill>
    <fill>
      <patternFill patternType="solid">
        <fgColor rgb="004CAF50"/>
      </patternFill>
    </fill>
    <fill>
      <patternFill patternType="solid">
        <fgColor rgb="002196F3"/>
      </patternFill>
    </fill>
    <fill>
      <patternFill patternType="solid">
        <fgColor rgb="009E9E9E"/>
      </patternFill>
    </fill>
    <fill>
      <patternFill patternType="solid">
        <fgColor rgb="00FFFDE7"/>
      </patternFill>
    </fill>
  </fills>
  <borders count="5">
    <border>
      <left/>
      <right/>
      <top/>
      <bottom/>
      <diagonal/>
    </border>
    <border>
      <bottom style="medium">
        <color rgb="002D2D2D"/>
      </bottom>
    </border>
    <border>
      <bottom style="thin">
        <color rgb="00DDDDDD"/>
      </bottom>
    </border>
    <border>
      <top style="medium">
        <color rgb="002D2D2D"/>
      </top>
      <bottom style="medium">
        <color rgb="002D2D2D"/>
      </bottom>
    </border>
    <border>
      <top style="medium">
        <color rgb="002D2D2D"/>
      </top>
    </border>
  </borders>
  <cellStyleXfs count="1">
    <xf numFmtId="0" fontId="0" fillId="0" borderId="0"/>
  </cellStyleXfs>
  <cellXfs count="6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1" pivotButton="0" quotePrefix="0" xfId="0"/>
    <xf numFmtId="0" fontId="0" fillId="0" borderId="1" pivotButton="0" quotePrefix="0" xfId="0"/>
    <xf numFmtId="0" fontId="5" fillId="0" borderId="2" pivotButton="0" quotePrefix="0" xfId="0"/>
    <xf numFmtId="164" fontId="5" fillId="0" borderId="2" pivotButton="0" quotePrefix="0" xfId="0"/>
    <xf numFmtId="0" fontId="6" fillId="0" borderId="2" pivotButton="0" quotePrefix="0" xfId="0"/>
    <xf numFmtId="164" fontId="6" fillId="0" borderId="2" pivotButton="0" quotePrefix="0" xfId="0"/>
    <xf numFmtId="165" fontId="5" fillId="0" borderId="2" pivotButton="0" quotePrefix="0" xfId="0"/>
    <xf numFmtId="0" fontId="5" fillId="0" borderId="0" pivotButton="0" quotePrefix="0" xfId="0"/>
    <xf numFmtId="0" fontId="7" fillId="0" borderId="3" pivotButton="0" quotePrefix="0" xfId="0"/>
    <xf numFmtId="164" fontId="7" fillId="0" borderId="3" pivotButton="0" quotePrefix="0" xfId="0"/>
    <xf numFmtId="164" fontId="8" fillId="0" borderId="2" pivotButton="0" quotePrefix="0" xfId="0"/>
    <xf numFmtId="0" fontId="9" fillId="0" borderId="2" pivotButton="0" quotePrefix="0" xfId="0"/>
    <xf numFmtId="164" fontId="9" fillId="0" borderId="2" pivotButton="0" quotePrefix="0" xfId="0"/>
    <xf numFmtId="165" fontId="6" fillId="0" borderId="2" pivotButton="0" quotePrefix="0" xfId="0"/>
    <xf numFmtId="0" fontId="10" fillId="0" borderId="0" pivotButton="0" quotePrefix="0" xfId="0"/>
    <xf numFmtId="0" fontId="11" fillId="2" borderId="0" applyAlignment="1" pivotButton="0" quotePrefix="0" xfId="0">
      <alignment horizontal="center" vertical="center" wrapText="1"/>
    </xf>
    <xf numFmtId="0" fontId="11" fillId="2" borderId="0" applyAlignment="1" pivotButton="0" quotePrefix="0" xfId="0">
      <alignment horizontal="center"/>
    </xf>
    <xf numFmtId="0" fontId="6" fillId="3" borderId="0" pivotButton="0" quotePrefix="0" xfId="0"/>
    <xf numFmtId="0" fontId="0" fillId="3" borderId="0" pivotButton="0" quotePrefix="0" xfId="0"/>
    <xf numFmtId="0" fontId="6" fillId="4" borderId="2" pivotButton="0" quotePrefix="0" xfId="0"/>
    <xf numFmtId="164" fontId="6" fillId="4" borderId="2" pivotButton="0" quotePrefix="0" xfId="0"/>
    <xf numFmtId="0" fontId="12" fillId="0" borderId="1" pivotButton="0" quotePrefix="0" xfId="0"/>
    <xf numFmtId="164" fontId="12" fillId="0" borderId="1" pivotButton="0" quotePrefix="0" xfId="0"/>
    <xf numFmtId="0" fontId="13" fillId="5" borderId="1" pivotButton="0" quotePrefix="0" xfId="0"/>
    <xf numFmtId="164" fontId="13" fillId="5" borderId="1" pivotButton="0" quotePrefix="0" xfId="0"/>
    <xf numFmtId="0" fontId="6" fillId="0" borderId="0" pivotButton="0" quotePrefix="0" xfId="0"/>
    <xf numFmtId="0" fontId="14" fillId="6" borderId="0" applyAlignment="1" pivotButton="0" quotePrefix="0" xfId="0">
      <alignment horizontal="center"/>
    </xf>
    <xf numFmtId="0" fontId="14" fillId="7" borderId="0" applyAlignment="1" pivotButton="0" quotePrefix="0" xfId="0">
      <alignment horizontal="center"/>
    </xf>
    <xf numFmtId="0" fontId="14" fillId="8" borderId="0" applyAlignment="1" pivotButton="0" quotePrefix="0" xfId="0">
      <alignment horizontal="center"/>
    </xf>
    <xf numFmtId="0" fontId="11" fillId="2" borderId="0" applyAlignment="1" pivotButton="0" quotePrefix="0" xfId="0">
      <alignment horizontal="left"/>
    </xf>
    <xf numFmtId="0" fontId="5" fillId="3" borderId="0" pivotButton="0" quotePrefix="0" xfId="0"/>
    <xf numFmtId="3" fontId="5" fillId="3" borderId="0" applyAlignment="1" pivotButton="0" quotePrefix="0" xfId="0">
      <alignment horizontal="right"/>
    </xf>
    <xf numFmtId="3" fontId="6" fillId="3" borderId="0" pivotButton="0" quotePrefix="0" xfId="0"/>
    <xf numFmtId="3" fontId="5" fillId="0" borderId="0" applyAlignment="1" pivotButton="0" quotePrefix="0" xfId="0">
      <alignment horizontal="right"/>
    </xf>
    <xf numFmtId="3" fontId="6" fillId="0" borderId="0" pivotButton="0" quotePrefix="0" xfId="0"/>
    <xf numFmtId="165" fontId="5" fillId="0" borderId="0" applyAlignment="1" pivotButton="0" quotePrefix="0" xfId="0">
      <alignment horizontal="right"/>
    </xf>
    <xf numFmtId="165" fontId="6" fillId="0" borderId="0" pivotButton="0" quotePrefix="0" xfId="0"/>
    <xf numFmtId="164" fontId="5" fillId="3" borderId="0" applyAlignment="1" pivotButton="0" quotePrefix="0" xfId="0">
      <alignment horizontal="right"/>
    </xf>
    <xf numFmtId="164" fontId="6" fillId="3" borderId="0" pivotButton="0" quotePrefix="0" xfId="0"/>
    <xf numFmtId="164" fontId="5" fillId="0" borderId="0" applyAlignment="1" pivotButton="0" quotePrefix="0" xfId="0">
      <alignment horizontal="right"/>
    </xf>
    <xf numFmtId="164" fontId="6" fillId="0" borderId="0" pivotButton="0" quotePrefix="0" xfId="0"/>
    <xf numFmtId="164" fontId="6" fillId="3" borderId="0" applyAlignment="1" pivotButton="0" quotePrefix="0" xfId="0">
      <alignment horizontal="right"/>
    </xf>
    <xf numFmtId="164" fontId="6" fillId="0" borderId="0" applyAlignment="1" pivotButton="0" quotePrefix="0" xfId="0">
      <alignment horizontal="right"/>
    </xf>
    <xf numFmtId="0" fontId="6" fillId="5" borderId="0" pivotButton="0" quotePrefix="0" xfId="0"/>
    <xf numFmtId="164" fontId="5" fillId="5" borderId="0" pivotButton="0" quotePrefix="0" xfId="0"/>
    <xf numFmtId="164" fontId="6" fillId="5" borderId="0" pivotButton="0" quotePrefix="0" xfId="0"/>
    <xf numFmtId="165" fontId="6" fillId="5" borderId="0" pivotButton="0" quotePrefix="0" xfId="0"/>
    <xf numFmtId="0" fontId="5" fillId="5" borderId="0" pivotButton="0" quotePrefix="0" xfId="0"/>
    <xf numFmtId="0" fontId="6" fillId="9" borderId="0" pivotButton="0" quotePrefix="0" xfId="0"/>
    <xf numFmtId="164" fontId="5" fillId="9" borderId="0" pivotButton="0" quotePrefix="0" xfId="0"/>
    <xf numFmtId="164" fontId="6" fillId="9" borderId="0" pivotButton="0" quotePrefix="0" xfId="0"/>
    <xf numFmtId="165" fontId="6" fillId="9" borderId="0" pivotButton="0" quotePrefix="0" xfId="0"/>
    <xf numFmtId="0" fontId="5" fillId="9" borderId="0" pivotButton="0" quotePrefix="0" xfId="0"/>
    <xf numFmtId="164" fontId="5" fillId="0" borderId="0" pivotButton="0" quotePrefix="0" xfId="0"/>
    <xf numFmtId="0" fontId="6" fillId="0" borderId="4" pivotButton="0" quotePrefix="0" xfId="0"/>
    <xf numFmtId="164" fontId="6" fillId="0" borderId="4" pivotButton="0" quotePrefix="0" xfId="0"/>
    <xf numFmtId="165" fontId="6" fillId="0" borderId="4" pivotButton="0" quotePrefix="0" xfId="0"/>
    <xf numFmtId="0" fontId="0" fillId="0" borderId="4" pivotButton="0" quotePrefix="0" xfId="0"/>
    <xf numFmtId="0" fontId="0" fillId="0" borderId="2" pivotButton="0" quotePrefix="0" xfId="0"/>
    <xf numFmtId="165" fontId="6" fillId="4" borderId="2" pivotButton="0" quotePrefix="0" xfId="0"/>
    <xf numFmtId="0" fontId="6" fillId="5" borderId="2" pivotButton="0" quotePrefix="0" xfId="0"/>
    <xf numFmtId="164" fontId="6" fillId="5" borderId="2" pivotButton="0" quotePrefix="0" xfId="0"/>
    <xf numFmtId="165" fontId="6" fillId="5" borderId="2"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5A55A"/>
    <outlinePr summaryBelow="1" summaryRight="1"/>
    <pageSetUpPr/>
  </sheetPr>
  <dimension ref="A1:E28"/>
  <sheetViews>
    <sheetView workbookViewId="0">
      <pane ySplit="4" topLeftCell="A5" activePane="bottomLeft" state="frozen"/>
      <selection pane="bottomLeft" activeCell="A1" sqref="A1"/>
    </sheetView>
  </sheetViews>
  <sheetFormatPr baseColWidth="8" defaultRowHeight="15"/>
  <cols>
    <col width="30" customWidth="1" min="1" max="1"/>
    <col width="22" customWidth="1" min="2" max="2"/>
    <col width="5" customWidth="1" min="3" max="3"/>
    <col width="30" customWidth="1" min="4" max="4"/>
    <col width="22" customWidth="1" min="5" max="5"/>
  </cols>
  <sheetData>
    <row r="1">
      <c r="A1" s="1" t="inlineStr">
        <is>
          <t>Casa Yano - Lender Package</t>
        </is>
      </c>
    </row>
    <row r="2">
      <c r="A2" s="2" t="inlineStr">
        <is>
          <t>210 W Yanonali St, Santa Barbara, CA 93101</t>
        </is>
      </c>
    </row>
    <row r="3">
      <c r="A3" s="3" t="inlineStr">
        <is>
          <t>Prepared 2026-04-27</t>
        </is>
      </c>
    </row>
    <row r="5">
      <c r="A5" s="4" t="inlineStr">
        <is>
          <t>PROPERTY DETAILS</t>
        </is>
      </c>
      <c r="B5" s="5" t="n"/>
    </row>
    <row r="6">
      <c r="A6" s="6" t="inlineStr">
        <is>
          <t>Property Type</t>
        </is>
      </c>
      <c r="B6" s="6" t="inlineStr">
        <is>
          <t>Short-Term Rental (STR)</t>
        </is>
      </c>
    </row>
    <row r="7">
      <c r="A7" s="6" t="inlineStr">
        <is>
          <t>Units</t>
        </is>
      </c>
      <c r="B7" s="6" t="inlineStr">
        <is>
          <t>6</t>
        </is>
      </c>
    </row>
    <row r="8">
      <c r="A8" s="6" t="inlineStr">
        <is>
          <t>Location</t>
        </is>
      </c>
      <c r="B8" s="6" t="inlineStr">
        <is>
          <t>Santa Barbara, CA</t>
        </is>
      </c>
    </row>
    <row r="9">
      <c r="A9" s="6" t="inlineStr">
        <is>
          <t>Opening Date</t>
        </is>
      </c>
      <c r="B9" s="6" t="inlineStr">
        <is>
          <t>December 18, 2025</t>
        </is>
      </c>
    </row>
    <row r="10">
      <c r="A10" s="6" t="inlineStr">
        <is>
          <t>Days Operating</t>
        </is>
      </c>
      <c r="B10" s="6" t="inlineStr">
        <is>
          <t>130</t>
        </is>
      </c>
    </row>
    <row r="11">
      <c r="A11" s="6" t="inlineStr">
        <is>
          <t>Management</t>
        </is>
      </c>
      <c r="B11" s="6" t="inlineStr">
        <is>
          <t>ZenStay Inc (third-party, 10% of gross)</t>
        </is>
      </c>
    </row>
    <row r="13">
      <c r="A13" s="4" t="inlineStr">
        <is>
          <t>FULL-YEAR PRO FORMA</t>
        </is>
      </c>
      <c r="B13" s="5" t="n"/>
      <c r="D13" s="4" t="inlineStr">
        <is>
          <t>FULL-YEAR PRO FORMA</t>
        </is>
      </c>
      <c r="E13" s="5" t="n"/>
    </row>
    <row r="14">
      <c r="A14" s="6" t="inlineStr">
        <is>
          <t>Period</t>
        </is>
      </c>
      <c r="B14" s="6" t="inlineStr">
        <is>
          <t>Jan 1 – Apr 14, 2026</t>
        </is>
      </c>
      <c r="D14" s="6" t="inlineStr">
        <is>
          <t>Projection Basis</t>
        </is>
      </c>
      <c r="E14" s="6" t="inlineStr">
        <is>
          <t>3 months actuals + seasonal model</t>
        </is>
      </c>
    </row>
    <row r="15">
      <c r="A15" s="6" t="inlineStr">
        <is>
          <t>Rental Income</t>
        </is>
      </c>
      <c r="B15" s="7" t="n">
        <v>170225.3</v>
      </c>
      <c r="D15" s="6" t="inlineStr">
        <is>
          <t>Gross Revenue</t>
        </is>
      </c>
      <c r="E15" s="7" t="n">
        <v>762301</v>
      </c>
    </row>
    <row r="16">
      <c r="A16" s="6" t="inlineStr">
        <is>
          <t>Total Operating Expenses</t>
        </is>
      </c>
      <c r="B16" s="7" t="n">
        <v>89337.99000000001</v>
      </c>
      <c r="D16" s="6" t="inlineStr">
        <is>
          <t>Net to Owner</t>
        </is>
      </c>
      <c r="E16" s="7" t="n">
        <v>677170</v>
      </c>
    </row>
    <row r="17">
      <c r="A17" s="8" t="inlineStr">
        <is>
          <t>Net Operating Income</t>
        </is>
      </c>
      <c r="B17" s="9" t="n">
        <v>80887.31</v>
      </c>
      <c r="D17" s="6" t="inlineStr">
        <is>
          <t>Total OpEx + Fixed</t>
        </is>
      </c>
      <c r="E17" s="7" t="n">
        <v>337514</v>
      </c>
    </row>
    <row r="18">
      <c r="D18" s="8" t="inlineStr">
        <is>
          <t>NOI (After Known Fixed)</t>
        </is>
      </c>
      <c r="E18" s="9" t="n">
        <v>339656</v>
      </c>
    </row>
    <row r="19">
      <c r="D19" s="6" t="inlineStr">
        <is>
          <t>Avg ADR (Blended)</t>
        </is>
      </c>
      <c r="E19" s="7" t="n">
        <v>418</v>
      </c>
    </row>
    <row r="20">
      <c r="D20" s="6" t="inlineStr">
        <is>
          <t>Avg Occupancy (Blended)</t>
        </is>
      </c>
      <c r="E20" s="10" t="n">
        <v>0.825</v>
      </c>
    </row>
    <row r="22">
      <c r="A22" s="4" t="inlineStr">
        <is>
          <t>KEY HIGHLIGHTS</t>
        </is>
      </c>
      <c r="B22" s="5" t="n"/>
      <c r="C22" s="5" t="n"/>
      <c r="D22" s="5" t="n"/>
      <c r="E22" s="5" t="n"/>
    </row>
    <row r="23">
      <c r="A23" s="11" t="inlineStr">
        <is>
          <t>•  Total project basis: $4,197,591 (per QBO balance sheet)</t>
        </is>
      </c>
    </row>
    <row r="24">
      <c r="A24" s="11" t="inlineStr">
        <is>
          <t>•  Existing debt: $1,500,000 - seeking refinance</t>
        </is>
      </c>
    </row>
    <row r="25">
      <c r="A25" s="11" t="inlineStr">
        <is>
          <t>•  Occupancy trending from 75% (Jan) to 88% (Mar) - strong ramp trajectory</t>
        </is>
      </c>
    </row>
    <row r="26">
      <c r="A26" s="11" t="inlineStr">
        <is>
          <t>•  April booked at $73,064 gross - highest month to date</t>
        </is>
      </c>
    </row>
    <row r="27">
      <c r="A27" s="11" t="inlineStr">
        <is>
          <t>•  Owner margin of 88.6% - efficient operations with low OTA commission rates</t>
        </is>
      </c>
    </row>
    <row r="28">
      <c r="A28" s="11" t="inlineStr">
        <is>
          <t>•  QBO YTD NOI of $80,887 in first 3.5 months of operations</t>
        </is>
      </c>
    </row>
  </sheetData>
  <mergeCells count="9">
    <mergeCell ref="A26:E26"/>
    <mergeCell ref="A24:E24"/>
    <mergeCell ref="A2:E2"/>
    <mergeCell ref="A25:E25"/>
    <mergeCell ref="A28:E28"/>
    <mergeCell ref="A1:E1"/>
    <mergeCell ref="A23:E23"/>
    <mergeCell ref="A27:E27"/>
    <mergeCell ref="A3:E3"/>
  </mergeCells>
  <pageMargins left="0.75" right="0.75" top="1" bottom="1" header="0.5" footer="0.5"/>
</worksheet>
</file>

<file path=xl/worksheets/sheet2.xml><?xml version="1.0" encoding="utf-8"?>
<worksheet xmlns="http://schemas.openxmlformats.org/spreadsheetml/2006/main">
  <sheetPr>
    <tabColor rgb="00795548"/>
    <outlinePr summaryBelow="1" summaryRight="1"/>
    <pageSetUpPr/>
  </sheetPr>
  <dimension ref="A1:E55"/>
  <sheetViews>
    <sheetView workbookViewId="0">
      <pane ySplit="3" topLeftCell="A4" activePane="bottomLeft" state="frozen"/>
      <selection pane="bottomLeft" activeCell="A1" sqref="A1"/>
    </sheetView>
  </sheetViews>
  <sheetFormatPr baseColWidth="8" defaultRowHeight="15"/>
  <cols>
    <col width="32" customWidth="1" min="1" max="1"/>
    <col width="22" customWidth="1" min="2" max="2"/>
    <col width="5" customWidth="1" min="3" max="3"/>
    <col width="32" customWidth="1" min="4" max="4"/>
    <col width="22" customWidth="1" min="5" max="5"/>
  </cols>
  <sheetData>
    <row r="1">
      <c r="A1" s="1" t="inlineStr">
        <is>
          <t>Casa Yano - Project History &amp; Renovation</t>
        </is>
      </c>
    </row>
    <row r="2">
      <c r="A2" s="3" t="inlineStr">
        <is>
          <t>Source: QuickBooks Online balance sheet + project records</t>
        </is>
      </c>
    </row>
    <row r="4">
      <c r="A4" s="4" t="inlineStr">
        <is>
          <t>ACQUISITION</t>
        </is>
      </c>
      <c r="B4" s="5" t="n"/>
    </row>
    <row r="5">
      <c r="A5" s="6" t="inlineStr">
        <is>
          <t>Purchase Price</t>
        </is>
      </c>
      <c r="B5" s="7" t="n">
        <v>2475000</v>
      </c>
    </row>
    <row r="6">
      <c r="A6" s="6" t="inlineStr">
        <is>
          <t>Close Date</t>
        </is>
      </c>
      <c r="B6" s="6" t="inlineStr">
        <is>
          <t>March 2024</t>
        </is>
      </c>
    </row>
    <row r="8">
      <c r="A8" s="4" t="inlineStr">
        <is>
          <t>RENOVATION</t>
        </is>
      </c>
      <c r="B8" s="5" t="n"/>
    </row>
    <row r="9">
      <c r="A9" s="6" t="inlineStr">
        <is>
          <t>Total Construction Cost (QBO)</t>
        </is>
      </c>
      <c r="B9" s="7" t="n">
        <v>1565488</v>
      </c>
    </row>
    <row r="10">
      <c r="A10" s="6" t="inlineStr">
        <is>
          <t xml:space="preserve">  Hard Costs</t>
        </is>
      </c>
      <c r="B10" s="7" t="n">
        <v>1405644</v>
      </c>
    </row>
    <row r="11">
      <c r="A11" s="6" t="inlineStr">
        <is>
          <t xml:space="preserve">  Soft Costs</t>
        </is>
      </c>
      <c r="B11" s="7" t="n">
        <v>159844</v>
      </c>
    </row>
    <row r="12">
      <c r="A12" s="6" t="inlineStr">
        <is>
          <t>Renovation Start</t>
        </is>
      </c>
      <c r="B12" s="6" t="inlineStr">
        <is>
          <t>October 2024</t>
        </is>
      </c>
    </row>
    <row r="13">
      <c r="A13" s="6" t="inlineStr">
        <is>
          <t>Renovation Complete</t>
        </is>
      </c>
      <c r="B13" s="6" t="inlineStr">
        <is>
          <t>November 2025</t>
        </is>
      </c>
    </row>
    <row r="14">
      <c r="A14" s="6" t="inlineStr">
        <is>
          <t>Duration</t>
        </is>
      </c>
      <c r="B14" s="6" t="inlineStr">
        <is>
          <t>13 months</t>
        </is>
      </c>
    </row>
    <row r="15">
      <c r="A15" s="6" t="inlineStr">
        <is>
          <t>Scope</t>
        </is>
      </c>
      <c r="B15" s="6" t="inlineStr">
        <is>
          <t>Full gut renovation to studs</t>
        </is>
      </c>
    </row>
    <row r="17">
      <c r="A17" s="4" t="inlineStr">
        <is>
          <t>SCOPE OF WORK</t>
        </is>
      </c>
      <c r="B17" s="5" t="n"/>
      <c r="C17" s="5" t="n"/>
      <c r="D17" s="5" t="n"/>
      <c r="E17" s="5" t="n"/>
    </row>
    <row r="18">
      <c r="A18" s="8" t="inlineStr">
        <is>
          <t>Structural</t>
        </is>
      </c>
      <c r="B18" s="6" t="inlineStr">
        <is>
          <t>Rebuilt foundation including underpinning with pylons</t>
        </is>
      </c>
    </row>
    <row r="19">
      <c r="A19" s="8" t="inlineStr">
        <is>
          <t>Framing &amp; Envelope</t>
        </is>
      </c>
      <c r="B19" s="6" t="inlineStr">
        <is>
          <t>New framing, new windows, new roof, new stucco</t>
        </is>
      </c>
    </row>
    <row r="20">
      <c r="A20" s="8" t="inlineStr">
        <is>
          <t>Mechanical</t>
        </is>
      </c>
      <c r="B20" s="6" t="inlineStr">
        <is>
          <t>All new plumbing, all new electrical</t>
        </is>
      </c>
    </row>
    <row r="21">
      <c r="A21" s="8" t="inlineStr">
        <is>
          <t>HVAC</t>
        </is>
      </c>
      <c r="B21" s="6" t="inlineStr">
        <is>
          <t>New mini splits in each unit</t>
        </is>
      </c>
    </row>
    <row r="22">
      <c r="A22" s="8" t="inlineStr">
        <is>
          <t>Insulation &amp; Walls</t>
        </is>
      </c>
      <c r="B22" s="6" t="inlineStr">
        <is>
          <t>All new insulation, all new drywall</t>
        </is>
      </c>
    </row>
    <row r="23">
      <c r="A23" s="8" t="inlineStr">
        <is>
          <t>Interiors</t>
        </is>
      </c>
      <c r="B23" s="6" t="inlineStr">
        <is>
          <t>All new flooring, lighting, kitchens, bathrooms, and finishes</t>
        </is>
      </c>
    </row>
    <row r="24">
      <c r="A24" s="8" t="inlineStr">
        <is>
          <t>Exterior</t>
        </is>
      </c>
      <c r="B24" s="6" t="inlineStr">
        <is>
          <t>New hardscape and landscape throughout the property</t>
        </is>
      </c>
    </row>
    <row r="26">
      <c r="A26" s="4" t="inlineStr">
        <is>
          <t>TOTAL PROJECT COST (per QBO Balance Sheet)</t>
        </is>
      </c>
      <c r="B26" s="5" t="n"/>
    </row>
    <row r="27">
      <c r="A27" s="6" t="inlineStr">
        <is>
          <t>Land</t>
        </is>
      </c>
      <c r="B27" s="7" t="n">
        <v>596847</v>
      </c>
    </row>
    <row r="28">
      <c r="A28" s="6" t="inlineStr">
        <is>
          <t>Buildings</t>
        </is>
      </c>
      <c r="B28" s="7" t="n">
        <v>1890017</v>
      </c>
    </row>
    <row r="29">
      <c r="A29" s="6" t="inlineStr">
        <is>
          <t>Rehab Costs - Hard</t>
        </is>
      </c>
      <c r="B29" s="7" t="n">
        <v>1405644</v>
      </c>
    </row>
    <row r="30">
      <c r="A30" s="6" t="inlineStr">
        <is>
          <t>Rehab Costs - Soft</t>
        </is>
      </c>
      <c r="B30" s="7" t="n">
        <v>159844</v>
      </c>
    </row>
    <row r="31">
      <c r="A31" s="6" t="inlineStr">
        <is>
          <t>FF&amp;E / Furniture &amp; Fixtures</t>
        </is>
      </c>
      <c r="B31" s="7" t="n">
        <v>73761</v>
      </c>
    </row>
    <row r="32">
      <c r="A32" s="6" t="inlineStr">
        <is>
          <t>Other (Acq Fee, Fundraising, Cost Seg, etc.)</t>
        </is>
      </c>
      <c r="B32" s="7" t="n">
        <v>71478</v>
      </c>
    </row>
    <row r="33">
      <c r="A33" s="12" t="inlineStr">
        <is>
          <t>Total Fixed Assets</t>
        </is>
      </c>
      <c r="B33" s="13">
        <f>SUM(B27:B32)</f>
        <v/>
      </c>
    </row>
    <row r="35">
      <c r="A35" s="4" t="inlineStr">
        <is>
          <t>EXISTING DEBT</t>
        </is>
      </c>
      <c r="B35" s="5" t="n"/>
    </row>
    <row r="36">
      <c r="A36" s="6" t="inlineStr">
        <is>
          <t>CDRBC, LLC</t>
        </is>
      </c>
      <c r="B36" s="7" t="n">
        <v>1000000</v>
      </c>
    </row>
    <row r="37">
      <c r="A37" s="6" t="inlineStr">
        <is>
          <t>GFT IRA, LLC</t>
        </is>
      </c>
      <c r="B37" s="7" t="n">
        <v>500000</v>
      </c>
    </row>
    <row r="38">
      <c r="A38" s="8" t="inlineStr">
        <is>
          <t>Total Existing Debt</t>
        </is>
      </c>
      <c r="B38" s="9" t="n">
        <v>1500000</v>
      </c>
    </row>
    <row r="40">
      <c r="A40" s="4" t="inlineStr">
        <is>
          <t>VALUE CREATION</t>
        </is>
      </c>
      <c r="B40" s="5" t="n"/>
    </row>
    <row r="41">
      <c r="A41" s="6" t="inlineStr">
        <is>
          <t>Projected NOI (2026)</t>
        </is>
      </c>
      <c r="B41" s="7" t="n">
        <v>339656</v>
      </c>
    </row>
    <row r="42">
      <c r="A42" s="6" t="inlineStr">
        <is>
          <t>Cap Rate Applied</t>
        </is>
      </c>
      <c r="B42" s="10" t="n">
        <v>0.06</v>
      </c>
    </row>
    <row r="43">
      <c r="A43" s="8" t="inlineStr">
        <is>
          <t>Implied Value</t>
        </is>
      </c>
      <c r="B43" s="9">
        <f>B41/B42</f>
        <v/>
      </c>
    </row>
    <row r="44">
      <c r="A44" s="6" t="inlineStr">
        <is>
          <t>Total Basis (per QBO)</t>
        </is>
      </c>
      <c r="B44" s="14">
        <f>B33</f>
        <v/>
      </c>
    </row>
    <row r="45">
      <c r="A45" s="15" t="inlineStr">
        <is>
          <t>Value Created</t>
        </is>
      </c>
      <c r="B45" s="16">
        <f>B43-B44</f>
        <v/>
      </c>
    </row>
    <row r="46">
      <c r="A46" s="8" t="inlineStr">
        <is>
          <t>Return on Cost</t>
        </is>
      </c>
      <c r="B46" s="17">
        <f>B41/B44</f>
        <v/>
      </c>
    </row>
    <row r="48">
      <c r="A48" s="4" t="inlineStr">
        <is>
          <t>TIMELINE</t>
        </is>
      </c>
      <c r="B48" s="5" t="n"/>
      <c r="C48" s="5" t="n"/>
      <c r="D48" s="5" t="n"/>
      <c r="E48" s="5" t="n"/>
    </row>
    <row r="49">
      <c r="A49" s="8" t="inlineStr">
        <is>
          <t>Mar 2024</t>
        </is>
      </c>
      <c r="B49" s="6" t="inlineStr">
        <is>
          <t>Property acquired</t>
        </is>
      </c>
    </row>
    <row r="50">
      <c r="A50" s="8" t="inlineStr">
        <is>
          <t>Mar – Sep 2024</t>
        </is>
      </c>
      <c r="B50" s="6" t="inlineStr">
        <is>
          <t>Planning, permitting, design</t>
        </is>
      </c>
    </row>
    <row r="51">
      <c r="A51" s="8" t="inlineStr">
        <is>
          <t>Oct 2024</t>
        </is>
      </c>
      <c r="B51" s="6" t="inlineStr">
        <is>
          <t>Construction begins - full gut renovation</t>
        </is>
      </c>
    </row>
    <row r="52">
      <c r="A52" s="8" t="inlineStr">
        <is>
          <t>Nov 2025</t>
        </is>
      </c>
      <c r="B52" s="6" t="inlineStr">
        <is>
          <t>Construction complete - certificate of occupancy</t>
        </is>
      </c>
    </row>
    <row r="53">
      <c r="A53" s="8" t="inlineStr">
        <is>
          <t>Dec 18, 2025</t>
        </is>
      </c>
      <c r="B53" s="6" t="inlineStr">
        <is>
          <t>First guest booking - STR operations commence</t>
        </is>
      </c>
    </row>
    <row r="54">
      <c r="A54" s="8" t="inlineStr">
        <is>
          <t>Jan – Mar 2026</t>
        </is>
      </c>
      <c r="B54" s="6" t="inlineStr">
        <is>
          <t>First full quarter of operations - strong ramp</t>
        </is>
      </c>
    </row>
    <row r="55">
      <c r="A55" s="8" t="inlineStr">
        <is>
          <t>Apr 2026</t>
        </is>
      </c>
      <c r="B55" s="6" t="inlineStr">
        <is>
          <t>Highest-grossing month to date</t>
        </is>
      </c>
    </row>
  </sheetData>
  <mergeCells count="16">
    <mergeCell ref="B23:E23"/>
    <mergeCell ref="B18:E18"/>
    <mergeCell ref="B49:E49"/>
    <mergeCell ref="B50:E50"/>
    <mergeCell ref="A2:E2"/>
    <mergeCell ref="B53:E53"/>
    <mergeCell ref="B52:E52"/>
    <mergeCell ref="B21:E21"/>
    <mergeCell ref="B54:E54"/>
    <mergeCell ref="A1:E1"/>
    <mergeCell ref="B55:E55"/>
    <mergeCell ref="B24:E24"/>
    <mergeCell ref="B19:E19"/>
    <mergeCell ref="B20:E20"/>
    <mergeCell ref="B51:E51"/>
    <mergeCell ref="B22:E22"/>
  </mergeCells>
  <pageMargins left="0.75" right="0.75" top="1" bottom="1" header="0.5" footer="0.5"/>
</worksheet>
</file>

<file path=xl/worksheets/sheet3.xml><?xml version="1.0" encoding="utf-8"?>
<worksheet xmlns="http://schemas.openxmlformats.org/spreadsheetml/2006/main">
  <sheetPr>
    <tabColor rgb="002D8B2D"/>
    <outlinePr summaryBelow="1" summaryRight="1"/>
    <pageSetUpPr/>
  </sheetPr>
  <dimension ref="A1:F2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8" t="inlineStr">
        <is>
          <t>Casa Yano - Profit &amp; Loss by Month (2026)</t>
        </is>
      </c>
    </row>
    <row r="2">
      <c r="A2" s="2" t="inlineStr">
        <is>
          <t>Operating data: January – Apr 2026  |  QBO YTD cross-referenced</t>
        </is>
      </c>
    </row>
    <row r="3">
      <c r="A3" s="3" t="inlineStr">
        <is>
          <t>Source: PMS booking data + expense reports, reconciled to QuickBooks Online</t>
        </is>
      </c>
    </row>
    <row r="5">
      <c r="A5" s="19" t="inlineStr"/>
      <c r="B5" s="20" t="inlineStr">
        <is>
          <t>Jan</t>
        </is>
      </c>
      <c r="C5" s="20" t="inlineStr">
        <is>
          <t>Feb</t>
        </is>
      </c>
      <c r="D5" s="20" t="inlineStr">
        <is>
          <t>Mar</t>
        </is>
      </c>
      <c r="E5" s="20" t="inlineStr">
        <is>
          <t>Apr</t>
        </is>
      </c>
      <c r="F5" s="20" t="inlineStr">
        <is>
          <t>YTD Total</t>
        </is>
      </c>
    </row>
    <row r="6">
      <c r="A6" s="21" t="inlineStr">
        <is>
          <t>INCOME</t>
        </is>
      </c>
      <c r="B6" s="22" t="n"/>
      <c r="C6" s="22" t="n"/>
      <c r="D6" s="22" t="n"/>
      <c r="E6" s="22" t="n"/>
      <c r="F6" s="22" t="n"/>
    </row>
    <row r="7">
      <c r="A7" s="8" t="inlineStr">
        <is>
          <t>Gross Booking Revenue</t>
        </is>
      </c>
      <c r="B7" s="9" t="n">
        <v>40041</v>
      </c>
      <c r="C7" s="9" t="n">
        <v>54065</v>
      </c>
      <c r="D7" s="9" t="n">
        <v>68024</v>
      </c>
      <c r="E7" s="9" t="n">
        <v>73064</v>
      </c>
      <c r="F7" s="9">
        <f>SUM(B7:E7)</f>
        <v/>
      </c>
    </row>
    <row r="8">
      <c r="A8" s="23" t="inlineStr">
        <is>
          <t>Net to Owner (after OTA/taxes/fees)</t>
        </is>
      </c>
      <c r="B8" s="24" t="n">
        <v>35785</v>
      </c>
      <c r="C8" s="24" t="n">
        <v>48880</v>
      </c>
      <c r="D8" s="24" t="n">
        <v>61256</v>
      </c>
      <c r="E8" s="24" t="n">
        <v>64216</v>
      </c>
      <c r="F8" s="24">
        <f>SUM(B8:E8)</f>
        <v/>
      </c>
    </row>
    <row r="10">
      <c r="A10" s="21" t="inlineStr">
        <is>
          <t>OPERATING EXPENSES</t>
        </is>
      </c>
      <c r="B10" s="22" t="n"/>
      <c r="C10" s="22" t="n"/>
      <c r="D10" s="22" t="n"/>
      <c r="E10" s="22" t="n"/>
      <c r="F10" s="22" t="n"/>
    </row>
    <row r="11">
      <c r="A11" s="6" t="inlineStr">
        <is>
          <t xml:space="preserve">  Cleaning</t>
        </is>
      </c>
      <c r="B11" s="7" t="n">
        <v>8483</v>
      </c>
      <c r="C11" s="7" t="n">
        <v>5790</v>
      </c>
      <c r="D11" s="7" t="n">
        <v>7028</v>
      </c>
      <c r="E11" s="7" t="n">
        <v>5855</v>
      </c>
      <c r="F11" s="7">
        <f>SUM(B11:E11)</f>
        <v/>
      </c>
    </row>
    <row r="12">
      <c r="A12" s="6" t="inlineStr">
        <is>
          <t xml:space="preserve">  Supplies</t>
        </is>
      </c>
      <c r="B12" s="7" t="n">
        <v>6140</v>
      </c>
      <c r="C12" s="7" t="n">
        <v>912</v>
      </c>
      <c r="D12" s="7" t="n">
        <v>2213</v>
      </c>
      <c r="E12" s="7" t="n">
        <v>561</v>
      </c>
      <c r="F12" s="7">
        <f>SUM(B12:E12)</f>
        <v/>
      </c>
    </row>
    <row r="13">
      <c r="A13" s="6" t="inlineStr">
        <is>
          <t xml:space="preserve">  Repairs &amp; Maintenance</t>
        </is>
      </c>
      <c r="B13" s="7" t="n">
        <v>572</v>
      </c>
      <c r="C13" s="7" t="n">
        <v>285</v>
      </c>
      <c r="D13" s="7" t="n">
        <v>1240</v>
      </c>
      <c r="E13" s="7" t="n">
        <v>450</v>
      </c>
      <c r="F13" s="7">
        <f>SUM(B13:E13)</f>
        <v/>
      </c>
    </row>
    <row r="14">
      <c r="A14" s="6" t="inlineStr">
        <is>
          <t xml:space="preserve">  Management Fee</t>
        </is>
      </c>
      <c r="B14" s="7" t="n">
        <v>4229</v>
      </c>
      <c r="C14" s="7" t="n">
        <v>4522</v>
      </c>
      <c r="D14" s="7" t="n">
        <v>5542</v>
      </c>
      <c r="E14" s="7" t="n">
        <v>5081</v>
      </c>
      <c r="F14" s="7">
        <f>SUM(B14:E14)</f>
        <v/>
      </c>
    </row>
    <row r="15">
      <c r="A15" s="6" t="inlineStr">
        <is>
          <t xml:space="preserve">  Marketing &amp; Advertising</t>
        </is>
      </c>
      <c r="B15" s="7" t="n">
        <v>2410</v>
      </c>
      <c r="C15" s="7" t="n">
        <v>0</v>
      </c>
      <c r="D15" s="7" t="n">
        <v>325</v>
      </c>
      <c r="E15" s="7" t="n">
        <v>25</v>
      </c>
      <c r="F15" s="7">
        <f>SUM(B15:E15)</f>
        <v/>
      </c>
    </row>
    <row r="16">
      <c r="A16" s="6" t="inlineStr">
        <is>
          <t xml:space="preserve">  Taxes &amp; Licenses</t>
        </is>
      </c>
      <c r="B16" s="7" t="n">
        <v>1853</v>
      </c>
      <c r="C16" s="7" t="n">
        <v>5535</v>
      </c>
      <c r="D16" s="7" t="n">
        <v>5953</v>
      </c>
      <c r="E16" s="7" t="n">
        <v>8410</v>
      </c>
      <c r="F16" s="7">
        <f>SUM(B16:E16)</f>
        <v/>
      </c>
    </row>
    <row r="17">
      <c r="A17" s="6" t="inlineStr">
        <is>
          <t xml:space="preserve">  Other</t>
        </is>
      </c>
      <c r="B17" s="7" t="n">
        <v>252</v>
      </c>
      <c r="C17" s="7" t="n">
        <v>908</v>
      </c>
      <c r="D17" s="7" t="n">
        <v>285</v>
      </c>
      <c r="E17" s="7" t="n">
        <v>195</v>
      </c>
      <c r="F17" s="7">
        <f>SUM(B17:E17)</f>
        <v/>
      </c>
    </row>
    <row r="18">
      <c r="A18" s="25" t="inlineStr">
        <is>
          <t>Total Operating Expenses</t>
        </is>
      </c>
      <c r="B18" s="26" t="n">
        <v>26905</v>
      </c>
      <c r="C18" s="26" t="n">
        <v>18060</v>
      </c>
      <c r="D18" s="26" t="n">
        <v>23590</v>
      </c>
      <c r="E18" s="26" t="n">
        <v>20697</v>
      </c>
      <c r="F18" s="26">
        <f>SUM(B18:E18)</f>
        <v/>
      </c>
    </row>
    <row r="20">
      <c r="A20" s="27" t="inlineStr">
        <is>
          <t>Net Operating Income</t>
        </is>
      </c>
      <c r="B20" s="28" t="n">
        <v>8880</v>
      </c>
      <c r="C20" s="28" t="n">
        <v>30820</v>
      </c>
      <c r="D20" s="28" t="n">
        <v>37666</v>
      </c>
      <c r="E20" s="28" t="n">
        <v>43519</v>
      </c>
      <c r="F20" s="28">
        <f>SUM(B20:E20)</f>
        <v/>
      </c>
    </row>
    <row r="23">
      <c r="A23" s="4" t="inlineStr">
        <is>
          <t>QBO RECONCILIATION</t>
        </is>
      </c>
      <c r="B23" s="5" t="n"/>
      <c r="C23" s="5" t="n"/>
      <c r="D23" s="5" t="n"/>
      <c r="E23" s="5" t="n"/>
      <c r="F23" s="5" t="n"/>
    </row>
    <row r="24">
      <c r="A24" s="3" t="inlineStr">
        <is>
          <t>QBO YTD Rental Income (Jan 1 – Apr 14): $170,225</t>
        </is>
      </c>
    </row>
    <row r="25">
      <c r="A25" s="3" t="inlineStr">
        <is>
          <t>QBO YTD Total Expenses: $89,338  |  QBO YTD NOI: $80,887</t>
        </is>
      </c>
    </row>
    <row r="26">
      <c r="A26" s="3" t="inlineStr">
        <is>
          <t>Note: Minor variances between PMS and QBO are expected due to cash vs accrual timing and partial-month cutoffs.</t>
        </is>
      </c>
    </row>
  </sheetData>
  <mergeCells count="6">
    <mergeCell ref="A24:F24"/>
    <mergeCell ref="A2:F2"/>
    <mergeCell ref="A1:F1"/>
    <mergeCell ref="A26:F26"/>
    <mergeCell ref="A3:F3"/>
    <mergeCell ref="A25:F25"/>
  </mergeCells>
  <pageMargins left="0.75" right="0.75" top="1" bottom="1" header="0.5" footer="0.5"/>
</worksheet>
</file>

<file path=xl/worksheets/sheet4.xml><?xml version="1.0" encoding="utf-8"?>
<worksheet xmlns="http://schemas.openxmlformats.org/spreadsheetml/2006/main">
  <sheetPr>
    <tabColor rgb="00C5A55A"/>
    <outlinePr summaryBelow="1" summaryRight="1"/>
    <pageSetUpPr/>
  </sheetPr>
  <dimension ref="A1:N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18" t="inlineStr">
        <is>
          <t>Casa Yano - Monthly Operating Detail (2026)</t>
        </is>
      </c>
    </row>
    <row r="2">
      <c r="A2" s="3" t="inlineStr">
        <is>
          <t>Source: Property Management System booking data</t>
        </is>
      </c>
    </row>
    <row r="4">
      <c r="A4" s="29" t="inlineStr">
        <is>
          <t>Status</t>
        </is>
      </c>
      <c r="B4" s="30" t="inlineStr">
        <is>
          <t>ACTUAL</t>
        </is>
      </c>
      <c r="C4" s="30" t="inlineStr">
        <is>
          <t>ACTUAL</t>
        </is>
      </c>
      <c r="D4" s="30" t="inlineStr">
        <is>
          <t>ACTUAL</t>
        </is>
      </c>
      <c r="E4" s="31" t="inlineStr">
        <is>
          <t>BOOKED</t>
        </is>
      </c>
      <c r="F4" s="32" t="inlineStr">
        <is>
          <t>PROJECTED</t>
        </is>
      </c>
      <c r="G4" s="32" t="inlineStr">
        <is>
          <t>PROJECTED</t>
        </is>
      </c>
      <c r="H4" s="32" t="inlineStr">
        <is>
          <t>PROJECTED</t>
        </is>
      </c>
      <c r="I4" s="32" t="inlineStr">
        <is>
          <t>PROJECTED</t>
        </is>
      </c>
      <c r="J4" s="32" t="inlineStr">
        <is>
          <t>PROJECTED</t>
        </is>
      </c>
      <c r="K4" s="32" t="inlineStr">
        <is>
          <t>PROJECTED</t>
        </is>
      </c>
      <c r="L4" s="32" t="inlineStr">
        <is>
          <t>PROJECTED</t>
        </is>
      </c>
      <c r="M4" s="32" t="inlineStr">
        <is>
          <t>PROJECTED</t>
        </is>
      </c>
    </row>
    <row r="5">
      <c r="A5" s="33" t="inlineStr"/>
      <c r="B5" s="19" t="inlineStr">
        <is>
          <t>Jan</t>
        </is>
      </c>
      <c r="C5" s="19" t="inlineStr">
        <is>
          <t>Feb</t>
        </is>
      </c>
      <c r="D5" s="19" t="inlineStr">
        <is>
          <t>Mar</t>
        </is>
      </c>
      <c r="E5" s="19" t="inlineStr">
        <is>
          <t>Apr</t>
        </is>
      </c>
      <c r="F5" s="19" t="inlineStr">
        <is>
          <t>May</t>
        </is>
      </c>
      <c r="G5" s="19" t="inlineStr">
        <is>
          <t>Jun</t>
        </is>
      </c>
      <c r="H5" s="19" t="inlineStr">
        <is>
          <t>Jul</t>
        </is>
      </c>
      <c r="I5" s="19" t="inlineStr">
        <is>
          <t>Aug</t>
        </is>
      </c>
      <c r="J5" s="19" t="inlineStr">
        <is>
          <t>Sep</t>
        </is>
      </c>
      <c r="K5" s="19" t="inlineStr">
        <is>
          <t>Oct</t>
        </is>
      </c>
      <c r="L5" s="19" t="inlineStr">
        <is>
          <t>Nov</t>
        </is>
      </c>
      <c r="M5" s="19" t="inlineStr">
        <is>
          <t>Dec</t>
        </is>
      </c>
      <c r="N5" s="19" t="inlineStr">
        <is>
          <t>Full Year</t>
        </is>
      </c>
    </row>
    <row r="6">
      <c r="A6" s="34" t="inlineStr">
        <is>
          <t>Bookings</t>
        </is>
      </c>
      <c r="B6" s="35" t="n">
        <v>56</v>
      </c>
      <c r="C6" s="35" t="n">
        <v>55</v>
      </c>
      <c r="D6" s="35" t="n">
        <v>60</v>
      </c>
      <c r="E6" s="35" t="n">
        <v>69</v>
      </c>
      <c r="F6" s="35" t="n">
        <v>61</v>
      </c>
      <c r="G6" s="35" t="n">
        <v>63</v>
      </c>
      <c r="H6" s="35" t="n">
        <v>66</v>
      </c>
      <c r="I6" s="35" t="n">
        <v>65</v>
      </c>
      <c r="J6" s="35" t="n">
        <v>53</v>
      </c>
      <c r="K6" s="35" t="n">
        <v>52</v>
      </c>
      <c r="L6" s="35" t="n">
        <v>52</v>
      </c>
      <c r="M6" s="35" t="n">
        <v>57</v>
      </c>
      <c r="N6" s="36">
        <f>SUM(B6:M6)</f>
        <v/>
      </c>
    </row>
    <row r="7">
      <c r="A7" s="11" t="inlineStr">
        <is>
          <t>Nights Sold</t>
        </is>
      </c>
      <c r="B7" s="37" t="n">
        <v>140</v>
      </c>
      <c r="C7" s="37" t="n">
        <v>136</v>
      </c>
      <c r="D7" s="37" t="n">
        <v>164</v>
      </c>
      <c r="E7" s="37" t="n">
        <v>149</v>
      </c>
      <c r="F7" s="37" t="n">
        <v>158</v>
      </c>
      <c r="G7" s="37" t="n">
        <v>164</v>
      </c>
      <c r="H7" s="37" t="n">
        <v>171</v>
      </c>
      <c r="I7" s="37" t="n">
        <v>169</v>
      </c>
      <c r="J7" s="37" t="n">
        <v>138</v>
      </c>
      <c r="K7" s="37" t="n">
        <v>135</v>
      </c>
      <c r="L7" s="37" t="n">
        <v>135</v>
      </c>
      <c r="M7" s="37" t="n">
        <v>147</v>
      </c>
      <c r="N7" s="38">
        <f>SUM(B7:M7)</f>
        <v/>
      </c>
    </row>
    <row r="8">
      <c r="A8" s="34" t="inlineStr">
        <is>
          <t>Available Nights</t>
        </is>
      </c>
      <c r="B8" s="35" t="n">
        <v>186</v>
      </c>
      <c r="C8" s="35" t="n">
        <v>168</v>
      </c>
      <c r="D8" s="35" t="n">
        <v>186</v>
      </c>
      <c r="E8" s="35" t="n">
        <v>180</v>
      </c>
      <c r="F8" s="35" t="n">
        <v>186</v>
      </c>
      <c r="G8" s="35" t="n">
        <v>180</v>
      </c>
      <c r="H8" s="35" t="n">
        <v>186</v>
      </c>
      <c r="I8" s="35" t="n">
        <v>186</v>
      </c>
      <c r="J8" s="35" t="n">
        <v>180</v>
      </c>
      <c r="K8" s="35" t="n">
        <v>186</v>
      </c>
      <c r="L8" s="35" t="n">
        <v>180</v>
      </c>
      <c r="M8" s="35" t="n">
        <v>186</v>
      </c>
      <c r="N8" s="36">
        <f>SUM(B8:M8)</f>
        <v/>
      </c>
    </row>
    <row r="9">
      <c r="A9" s="11" t="inlineStr">
        <is>
          <t>Occupancy</t>
        </is>
      </c>
      <c r="B9" s="39" t="n">
        <v>0.753</v>
      </c>
      <c r="C9" s="39" t="n">
        <v>0.8100000000000001</v>
      </c>
      <c r="D9" s="39" t="n">
        <v>0.882</v>
      </c>
      <c r="E9" s="39" t="n">
        <v>0.828</v>
      </c>
      <c r="F9" s="39" t="n">
        <v>0.851</v>
      </c>
      <c r="G9" s="39" t="n">
        <v>0.9109999999999999</v>
      </c>
      <c r="H9" s="39" t="n">
        <v>0.92</v>
      </c>
      <c r="I9" s="39" t="n">
        <v>0.9109999999999999</v>
      </c>
      <c r="J9" s="39" t="n">
        <v>0.7659999999999999</v>
      </c>
      <c r="K9" s="39" t="n">
        <v>0.7240000000000001</v>
      </c>
      <c r="L9" s="39" t="n">
        <v>0.7490000000000001</v>
      </c>
      <c r="M9" s="39" t="n">
        <v>0.792</v>
      </c>
      <c r="N9" s="40">
        <f>AVERAGE(B9:M9)</f>
        <v/>
      </c>
    </row>
    <row r="10">
      <c r="A10" s="34" t="inlineStr">
        <is>
          <t>ADR</t>
        </is>
      </c>
      <c r="B10" s="41" t="n">
        <v>286</v>
      </c>
      <c r="C10" s="41" t="n">
        <v>398</v>
      </c>
      <c r="D10" s="41" t="n">
        <v>415</v>
      </c>
      <c r="E10" s="41" t="n">
        <v>490</v>
      </c>
      <c r="F10" s="41" t="n">
        <v>446</v>
      </c>
      <c r="G10" s="41" t="n">
        <v>486</v>
      </c>
      <c r="H10" s="41" t="n">
        <v>506</v>
      </c>
      <c r="I10" s="41" t="n">
        <v>486</v>
      </c>
      <c r="J10" s="41" t="n">
        <v>385</v>
      </c>
      <c r="K10" s="41" t="n">
        <v>365</v>
      </c>
      <c r="L10" s="41" t="n">
        <v>365</v>
      </c>
      <c r="M10" s="41" t="n">
        <v>385</v>
      </c>
      <c r="N10" s="42">
        <f>SUM(B10:M10)</f>
        <v/>
      </c>
    </row>
    <row r="11">
      <c r="A11" s="11" t="inlineStr">
        <is>
          <t>RevPAR</t>
        </is>
      </c>
      <c r="B11" s="43" t="n">
        <v>215</v>
      </c>
      <c r="C11" s="43" t="n">
        <v>322</v>
      </c>
      <c r="D11" s="43" t="n">
        <v>366</v>
      </c>
      <c r="E11" s="43" t="n">
        <v>406</v>
      </c>
      <c r="F11" s="43" t="n">
        <v>379</v>
      </c>
      <c r="G11" s="43" t="n">
        <v>443</v>
      </c>
      <c r="H11" s="43" t="n">
        <v>465</v>
      </c>
      <c r="I11" s="43" t="n">
        <v>442</v>
      </c>
      <c r="J11" s="43" t="n">
        <v>295</v>
      </c>
      <c r="K11" s="43" t="n">
        <v>265</v>
      </c>
      <c r="L11" s="43" t="n">
        <v>274</v>
      </c>
      <c r="M11" s="43" t="n">
        <v>304</v>
      </c>
      <c r="N11" s="44">
        <f>SUM(B11:M11)</f>
        <v/>
      </c>
    </row>
    <row r="12">
      <c r="A12" s="21" t="inlineStr">
        <is>
          <t>Gross Revenue</t>
        </is>
      </c>
      <c r="B12" s="45" t="n">
        <v>40041</v>
      </c>
      <c r="C12" s="45" t="n">
        <v>54065</v>
      </c>
      <c r="D12" s="45" t="n">
        <v>68024</v>
      </c>
      <c r="E12" s="45" t="n">
        <v>73064</v>
      </c>
      <c r="F12" s="45" t="n">
        <v>70468</v>
      </c>
      <c r="G12" s="45" t="n">
        <v>79704</v>
      </c>
      <c r="H12" s="45" t="n">
        <v>86526</v>
      </c>
      <c r="I12" s="45" t="n">
        <v>82134</v>
      </c>
      <c r="J12" s="45" t="n">
        <v>53130</v>
      </c>
      <c r="K12" s="45" t="n">
        <v>49275</v>
      </c>
      <c r="L12" s="45" t="n">
        <v>49275</v>
      </c>
      <c r="M12" s="45" t="n">
        <v>56595</v>
      </c>
      <c r="N12" s="42">
        <f>SUM(B12:M12)</f>
        <v/>
      </c>
    </row>
    <row r="13">
      <c r="A13" s="29" t="inlineStr">
        <is>
          <t>Net to Owner</t>
        </is>
      </c>
      <c r="B13" s="46" t="n">
        <v>35785</v>
      </c>
      <c r="C13" s="46" t="n">
        <v>48880</v>
      </c>
      <c r="D13" s="46" t="n">
        <v>61256</v>
      </c>
      <c r="E13" s="46" t="n">
        <v>64216</v>
      </c>
      <c r="F13" s="46" t="n">
        <v>62437</v>
      </c>
      <c r="G13" s="46" t="n">
        <v>70620</v>
      </c>
      <c r="H13" s="46" t="n">
        <v>76665</v>
      </c>
      <c r="I13" s="46" t="n">
        <v>72773</v>
      </c>
      <c r="J13" s="46" t="n">
        <v>47075</v>
      </c>
      <c r="K13" s="46" t="n">
        <v>43659</v>
      </c>
      <c r="L13" s="46" t="n">
        <v>43659</v>
      </c>
      <c r="M13" s="46" t="n">
        <v>50145</v>
      </c>
      <c r="N13" s="44">
        <f>SUM(B13:M13)</f>
        <v/>
      </c>
    </row>
  </sheetData>
  <mergeCells count="2">
    <mergeCell ref="A2:M2"/>
    <mergeCell ref="A1:M1"/>
  </mergeCells>
  <pageMargins left="0.75" right="0.75" top="1" bottom="1" header="0.5" footer="0.5"/>
</worksheet>
</file>

<file path=xl/worksheets/sheet5.xml><?xml version="1.0" encoding="utf-8"?>
<worksheet xmlns="http://schemas.openxmlformats.org/spreadsheetml/2006/main">
  <sheetPr>
    <tabColor rgb="002196F3"/>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8" t="inlineStr">
        <is>
          <t>Casa Yano - Forward Bookings on the Books</t>
        </is>
      </c>
    </row>
    <row r="2">
      <c r="A2" s="3" t="inlineStr">
        <is>
          <t>As of 2026-04-27. Confirmed reservations with deposits received.</t>
        </is>
      </c>
    </row>
    <row r="4">
      <c r="A4" s="19" t="inlineStr">
        <is>
          <t>Month</t>
        </is>
      </c>
      <c r="B4" s="19" t="inlineStr">
        <is>
          <t>PF Target</t>
        </is>
      </c>
      <c r="C4" s="19" t="inlineStr">
        <is>
          <t>Booked Revenue</t>
        </is>
      </c>
      <c r="D4" s="19" t="inlineStr">
        <is>
          <t>% of Target</t>
        </is>
      </c>
      <c r="E4" s="19" t="inlineStr">
        <is>
          <t>ADR</t>
        </is>
      </c>
      <c r="F4" s="19" t="inlineStr">
        <is>
          <t>RevPAR</t>
        </is>
      </c>
      <c r="G4" s="19" t="inlineStr">
        <is>
          <t>Remaining</t>
        </is>
      </c>
      <c r="H4" s="19" t="inlineStr">
        <is>
          <t>Status</t>
        </is>
      </c>
    </row>
    <row r="5">
      <c r="A5" s="47" t="inlineStr">
        <is>
          <t>Apr</t>
        </is>
      </c>
      <c r="B5" s="48" t="n">
        <v>73064</v>
      </c>
      <c r="C5" s="49" t="n">
        <v>73064</v>
      </c>
      <c r="D5" s="50" t="n">
        <v>1</v>
      </c>
      <c r="E5" s="48" t="n">
        <v>490</v>
      </c>
      <c r="F5" s="48" t="n">
        <v>406</v>
      </c>
      <c r="G5" s="48" t="n">
        <v>0</v>
      </c>
      <c r="H5" s="51" t="inlineStr">
        <is>
          <t>Fully Booked</t>
        </is>
      </c>
    </row>
    <row r="6">
      <c r="A6" s="47" t="inlineStr">
        <is>
          <t>May</t>
        </is>
      </c>
      <c r="B6" s="48" t="n">
        <v>70468</v>
      </c>
      <c r="C6" s="49" t="n">
        <v>60449</v>
      </c>
      <c r="D6" s="50" t="n">
        <v>0.858</v>
      </c>
      <c r="E6" s="48" t="n">
        <v>444</v>
      </c>
      <c r="F6" s="48" t="n">
        <v>325</v>
      </c>
      <c r="G6" s="48" t="n">
        <v>10019</v>
      </c>
      <c r="H6" s="51" t="inlineStr">
        <is>
          <t>Strong</t>
        </is>
      </c>
    </row>
    <row r="7">
      <c r="A7" s="52" t="inlineStr">
        <is>
          <t>Jun</t>
        </is>
      </c>
      <c r="B7" s="53" t="n">
        <v>79704</v>
      </c>
      <c r="C7" s="54" t="n">
        <v>38444</v>
      </c>
      <c r="D7" s="55" t="n">
        <v>0.482</v>
      </c>
      <c r="E7" s="53" t="n">
        <v>527</v>
      </c>
      <c r="F7" s="53" t="n">
        <v>214</v>
      </c>
      <c r="G7" s="53" t="n">
        <v>41260</v>
      </c>
      <c r="H7" s="56" t="inlineStr">
        <is>
          <t>Building</t>
        </is>
      </c>
    </row>
    <row r="8">
      <c r="A8" s="52" t="inlineStr">
        <is>
          <t>Jul</t>
        </is>
      </c>
      <c r="B8" s="53" t="n">
        <v>86526</v>
      </c>
      <c r="C8" s="54" t="n">
        <v>22537</v>
      </c>
      <c r="D8" s="55" t="n">
        <v>0.26</v>
      </c>
      <c r="E8" s="53" t="n">
        <v>524</v>
      </c>
      <c r="F8" s="53" t="n">
        <v>121</v>
      </c>
      <c r="G8" s="53" t="n">
        <v>63989</v>
      </c>
      <c r="H8" s="56" t="inlineStr">
        <is>
          <t>Building</t>
        </is>
      </c>
    </row>
    <row r="9">
      <c r="A9" s="29" t="inlineStr">
        <is>
          <t>Aug</t>
        </is>
      </c>
      <c r="B9" s="57" t="n">
        <v>82134</v>
      </c>
      <c r="C9" s="44" t="n">
        <v>10977</v>
      </c>
      <c r="D9" s="40" t="n">
        <v>0.134</v>
      </c>
      <c r="E9" s="57" t="n">
        <v>523</v>
      </c>
      <c r="F9" s="57" t="n">
        <v>59</v>
      </c>
      <c r="G9" s="57" t="n">
        <v>71157</v>
      </c>
      <c r="H9" s="11" t="inlineStr">
        <is>
          <t>Early</t>
        </is>
      </c>
    </row>
    <row r="10">
      <c r="A10" s="52" t="inlineStr">
        <is>
          <t>Sep</t>
        </is>
      </c>
      <c r="B10" s="53" t="n">
        <v>53130</v>
      </c>
      <c r="C10" s="54" t="n">
        <v>15604</v>
      </c>
      <c r="D10" s="55" t="n">
        <v>0.294</v>
      </c>
      <c r="E10" s="53" t="n">
        <v>488</v>
      </c>
      <c r="F10" s="53" t="n">
        <v>87</v>
      </c>
      <c r="G10" s="53" t="n">
        <v>37526</v>
      </c>
      <c r="H10" s="56" t="inlineStr">
        <is>
          <t>Building</t>
        </is>
      </c>
    </row>
    <row r="11">
      <c r="A11" s="29" t="inlineStr">
        <is>
          <t>Oct</t>
        </is>
      </c>
      <c r="B11" s="57" t="n">
        <v>49275</v>
      </c>
      <c r="C11" s="44" t="n">
        <v>8513</v>
      </c>
      <c r="D11" s="40" t="n">
        <v>0.173</v>
      </c>
      <c r="E11" s="57" t="n">
        <v>473</v>
      </c>
      <c r="F11" s="57" t="n">
        <v>46</v>
      </c>
      <c r="G11" s="57" t="n">
        <v>40762</v>
      </c>
      <c r="H11" s="11" t="inlineStr">
        <is>
          <t>Early</t>
        </is>
      </c>
    </row>
    <row r="12">
      <c r="A12" s="29" t="inlineStr">
        <is>
          <t>Nov</t>
        </is>
      </c>
      <c r="B12" s="57" t="n">
        <v>49275</v>
      </c>
      <c r="C12" s="44" t="n">
        <v>2251</v>
      </c>
      <c r="D12" s="40" t="n">
        <v>0.046</v>
      </c>
      <c r="E12" s="57" t="n">
        <v>450</v>
      </c>
      <c r="F12" s="57" t="n">
        <v>13</v>
      </c>
      <c r="G12" s="57" t="n">
        <v>47024</v>
      </c>
      <c r="H12" s="11" t="inlineStr">
        <is>
          <t>Early</t>
        </is>
      </c>
    </row>
    <row r="13">
      <c r="A13" s="29" t="inlineStr">
        <is>
          <t>Dec</t>
        </is>
      </c>
      <c r="B13" s="57" t="n">
        <v>56595</v>
      </c>
      <c r="C13" s="44" t="n">
        <v>3729</v>
      </c>
      <c r="D13" s="40" t="n">
        <v>0.066</v>
      </c>
      <c r="E13" s="57" t="n">
        <v>339</v>
      </c>
      <c r="F13" s="57" t="n">
        <v>20</v>
      </c>
      <c r="G13" s="57" t="n">
        <v>52866</v>
      </c>
      <c r="H13" s="11" t="inlineStr">
        <is>
          <t>Early</t>
        </is>
      </c>
    </row>
    <row r="14">
      <c r="A14" s="58" t="inlineStr">
        <is>
          <t>TOTAL</t>
        </is>
      </c>
      <c r="B14" s="59">
        <f>SUM(B5:B13)</f>
        <v/>
      </c>
      <c r="C14" s="59">
        <f>SUM(C5:C13)</f>
        <v/>
      </c>
      <c r="D14" s="60">
        <f>C14/B14</f>
        <v/>
      </c>
      <c r="E14" s="61" t="n"/>
      <c r="F14" s="61" t="n"/>
      <c r="G14" s="59">
        <f>B14-C14</f>
        <v/>
      </c>
      <c r="H14" s="61" t="n"/>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tabColor rgb="007B1FA2"/>
    <outlinePr summaryBelow="1" summaryRight="1"/>
    <pageSetUpPr/>
  </sheetPr>
  <dimension ref="A1:C25"/>
  <sheetViews>
    <sheetView workbookViewId="0">
      <pane ySplit="4" topLeftCell="A5" activePane="bottomLeft" state="frozen"/>
      <selection pane="bottomLeft" activeCell="A1" sqref="A1"/>
    </sheetView>
  </sheetViews>
  <sheetFormatPr baseColWidth="8" defaultRowHeight="15"/>
  <cols>
    <col width="30" customWidth="1" min="1" max="1"/>
    <col width="18" customWidth="1" min="2" max="2"/>
    <col width="14" customWidth="1" min="3" max="3"/>
  </cols>
  <sheetData>
    <row r="1">
      <c r="A1" s="18" t="inlineStr">
        <is>
          <t>Casa Yano - 2026 Pro Forma (Blended Forecast)</t>
        </is>
      </c>
    </row>
    <row r="2">
      <c r="A2" s="3" t="inlineStr">
        <is>
          <t>Blends 3 months of closed actuals with seasonal projections calibrated from actual performance</t>
        </is>
      </c>
    </row>
    <row r="4">
      <c r="A4" s="19" t="inlineStr"/>
      <c r="B4" s="19" t="inlineStr">
        <is>
          <t>Amount</t>
        </is>
      </c>
      <c r="C4" s="19" t="inlineStr">
        <is>
          <t>% of Gross</t>
        </is>
      </c>
    </row>
    <row r="5">
      <c r="A5" s="8" t="inlineStr">
        <is>
          <t>Gross Revenue</t>
        </is>
      </c>
      <c r="B5" s="9" t="n">
        <v>762301</v>
      </c>
      <c r="C5" s="17" t="n">
        <v>1</v>
      </c>
    </row>
    <row r="6">
      <c r="A6" s="6" t="inlineStr">
        <is>
          <t xml:space="preserve">  OTA Commissions</t>
        </is>
      </c>
      <c r="B6" s="7" t="n">
        <v>-83964</v>
      </c>
      <c r="C6" s="62" t="n"/>
    </row>
    <row r="7">
      <c r="A7" s="6" t="inlineStr">
        <is>
          <t xml:space="preserve">  Taxes (TOT)</t>
        </is>
      </c>
      <c r="B7" s="7" t="n">
        <v>-73521</v>
      </c>
      <c r="C7" s="62" t="n"/>
    </row>
    <row r="8">
      <c r="A8" s="6" t="inlineStr">
        <is>
          <t xml:space="preserve">  Processing Fees</t>
        </is>
      </c>
      <c r="B8" s="7" t="n">
        <v>-5307</v>
      </c>
      <c r="C8" s="62" t="n"/>
    </row>
    <row r="9">
      <c r="A9" s="23" t="inlineStr">
        <is>
          <t>Net to Owner</t>
        </is>
      </c>
      <c r="B9" s="24" t="n">
        <v>677170</v>
      </c>
      <c r="C9" s="63" t="n">
        <v>0.8883236411863555</v>
      </c>
    </row>
    <row r="10">
      <c r="A10" s="6" t="inlineStr">
        <is>
          <t xml:space="preserve">  Direct OpEx (Cleaning, Supplies, etc.)</t>
        </is>
      </c>
      <c r="B10" s="7" t="n">
        <v>-197105</v>
      </c>
      <c r="C10" s="62" t="n"/>
    </row>
    <row r="11">
      <c r="A11" s="6" t="inlineStr">
        <is>
          <t xml:space="preserve">  Management Fee (10%)</t>
        </is>
      </c>
      <c r="B11" s="7" t="n">
        <v>-76230</v>
      </c>
      <c r="C11" s="62" t="n"/>
    </row>
    <row r="12">
      <c r="A12" s="6" t="inlineStr">
        <is>
          <t xml:space="preserve">  Property Tax</t>
        </is>
      </c>
      <c r="B12" s="7" t="n">
        <v>-26679</v>
      </c>
      <c r="C12" s="62" t="n"/>
    </row>
    <row r="13">
      <c r="A13" s="6" t="inlineStr">
        <is>
          <t xml:space="preserve">  Insurance</t>
        </is>
      </c>
      <c r="B13" s="7" t="n">
        <v>-13500</v>
      </c>
      <c r="C13" s="62" t="n"/>
    </row>
    <row r="14">
      <c r="A14" s="6" t="inlineStr">
        <is>
          <t xml:space="preserve">  Other Fixed Costs</t>
        </is>
      </c>
      <c r="B14" s="7" t="n">
        <v>-24000</v>
      </c>
      <c r="C14" s="62" t="n"/>
    </row>
    <row r="15">
      <c r="A15" s="64" t="inlineStr">
        <is>
          <t>Net Operating Income</t>
        </is>
      </c>
      <c r="B15" s="65" t="n">
        <v>339656</v>
      </c>
      <c r="C15" s="66" t="n">
        <v>0.4455667774278139</v>
      </c>
    </row>
    <row r="17">
      <c r="A17" s="4" t="inlineStr">
        <is>
          <t>MODEL INPUTS</t>
        </is>
      </c>
      <c r="B17" s="5" t="n"/>
    </row>
    <row r="18">
      <c r="A18" s="6" t="inlineStr">
        <is>
          <t>Closed Months Used for Calibration</t>
        </is>
      </c>
      <c r="B18" s="6" t="n">
        <v>3</v>
      </c>
    </row>
    <row r="19">
      <c r="A19" s="6" t="inlineStr">
        <is>
          <t>Baseline ADR (de-seasonalized)</t>
        </is>
      </c>
      <c r="B19" s="7" t="n">
        <v>405</v>
      </c>
    </row>
    <row r="20">
      <c r="A20" s="6" t="inlineStr">
        <is>
          <t>Baseline Occupancy (de-seasonalized)</t>
        </is>
      </c>
      <c r="B20" s="10" t="n">
        <v>0.851</v>
      </c>
    </row>
    <row r="21">
      <c r="A21" s="6" t="inlineStr">
        <is>
          <t>Max Occupancy Cap</t>
        </is>
      </c>
      <c r="B21" s="10" t="n">
        <v>0.92</v>
      </c>
    </row>
    <row r="22">
      <c r="A22" s="6" t="inlineStr">
        <is>
          <t>Back-test MAPE (Gross Revenue)</t>
        </is>
      </c>
      <c r="B22" s="10" t="n">
        <v>0.049</v>
      </c>
    </row>
    <row r="24">
      <c r="A24" s="4" t="inlineStr">
        <is>
          <t>METHODOLOGY</t>
        </is>
      </c>
      <c r="B24" s="5" t="n"/>
      <c r="C24" s="5" t="n"/>
    </row>
    <row r="25" ht="90" customHeight="1">
      <c r="A25" s="67" t="inlineStr">
        <is>
          <t>Pro forma projections blend closed-month actuals (sourced from PMS booking data and QuickBooks) with a seasonal model for future months. The seasonal model de-seasonalizes actual ADR and occupancy performance to establish a baseline, then applies monthly seasonal indices derived from Santa Barbara STR demand patterns to project forward revenue. Operating expenses are projected from trailing actuals, with cleaning costs scaled per turnover and fixed costs (management, property tax, insurance) carried at known annual amounts. The model recalibrates automatically as each month closes, incorporating new actuals into the baseline - meaning projections tighten over time as operating history grows.</t>
        </is>
      </c>
    </row>
  </sheetData>
  <mergeCells count="3">
    <mergeCell ref="A1:C1"/>
    <mergeCell ref="A25:C25"/>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2026-04-27T15:13:33Z</dcterms:created>
  <dcterms:modified xmlns:dcterms="http://purl.org/dc/terms/" xmlns:xsi="http://www.w3.org/2001/XMLSchema-instance" xsi:type="dcterms:W3CDTF">2026-04-27T15:13:33Z</dcterms:modified>
</cp:coreProperties>
</file>