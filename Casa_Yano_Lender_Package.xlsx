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2026-06-06</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170</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5 months actuals + seasonal model</t>
        </is>
      </c>
    </row>
    <row r="15">
      <c r="A15" s="6" t="inlineStr">
        <is>
          <t>Rental Income</t>
        </is>
      </c>
      <c r="B15" s="7" t="n">
        <v>170225.3</v>
      </c>
      <c r="D15" s="6" t="inlineStr">
        <is>
          <t>Gross Revenue</t>
        </is>
      </c>
      <c r="E15" s="7" t="n">
        <v>771952</v>
      </c>
    </row>
    <row r="16">
      <c r="A16" s="6" t="inlineStr">
        <is>
          <t>Total Operating Expenses</t>
        </is>
      </c>
      <c r="B16" s="7" t="n">
        <v>89337.99000000001</v>
      </c>
      <c r="D16" s="6" t="inlineStr">
        <is>
          <t>Net to Owner</t>
        </is>
      </c>
      <c r="E16" s="7" t="n">
        <v>683142</v>
      </c>
    </row>
    <row r="17">
      <c r="A17" s="8" t="inlineStr">
        <is>
          <t>Net Operating Income</t>
        </is>
      </c>
      <c r="B17" s="9" t="n">
        <v>80887.31</v>
      </c>
      <c r="D17" s="6" t="inlineStr">
        <is>
          <t>Total OpEx + Fixed</t>
        </is>
      </c>
      <c r="E17" s="7" t="n">
        <v>337234</v>
      </c>
    </row>
    <row r="18">
      <c r="D18" s="8" t="inlineStr">
        <is>
          <t>NOI (After Known Fixed)</t>
        </is>
      </c>
      <c r="E18" s="9" t="n">
        <v>345908</v>
      </c>
    </row>
    <row r="19">
      <c r="D19" s="6" t="inlineStr">
        <is>
          <t>Avg ADR (Blended)</t>
        </is>
      </c>
      <c r="E19" s="7" t="n">
        <v>431</v>
      </c>
    </row>
    <row r="20">
      <c r="D20" s="6" t="inlineStr">
        <is>
          <t>Avg Occupancy (Blended)</t>
        </is>
      </c>
      <c r="E20" s="10" t="n">
        <v>0.8120000000000001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88.4%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345908</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59323</v>
      </c>
      <c r="H7" s="9">
        <f>SUM(B7:G7)</f>
        <v/>
      </c>
    </row>
    <row r="8">
      <c r="A8" s="23" t="inlineStr">
        <is>
          <t>Net to Owner (after OTA &amp; Processing)</t>
        </is>
      </c>
      <c r="B8" s="24" t="n">
        <v>35785</v>
      </c>
      <c r="C8" s="24" t="n">
        <v>48880</v>
      </c>
      <c r="D8" s="24" t="n">
        <v>61256</v>
      </c>
      <c r="E8" s="24" t="n">
        <v>64778</v>
      </c>
      <c r="F8" s="24" t="n">
        <v>69654</v>
      </c>
      <c r="G8" s="24" t="n">
        <v>51991</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1565</v>
      </c>
      <c r="H11" s="7">
        <f>SUM(B11:G11)</f>
        <v/>
      </c>
    </row>
    <row r="12">
      <c r="A12" s="6" t="inlineStr">
        <is>
          <t xml:space="preserve">  Supplies</t>
        </is>
      </c>
      <c r="B12" s="7" t="n">
        <v>6140</v>
      </c>
      <c r="C12" s="7" t="n">
        <v>912</v>
      </c>
      <c r="D12" s="7" t="n">
        <v>2213</v>
      </c>
      <c r="E12" s="7" t="n">
        <v>607</v>
      </c>
      <c r="F12" s="7" t="n">
        <v>1378</v>
      </c>
      <c r="G12" s="7" t="n">
        <v>263</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318</v>
      </c>
      <c r="H14" s="7">
        <f>SUM(B14:G14)</f>
        <v/>
      </c>
    </row>
    <row r="15">
      <c r="A15" s="6" t="inlineStr">
        <is>
          <t xml:space="preserve">  Marketing &amp; Advertising</t>
        </is>
      </c>
      <c r="B15" s="7" t="n">
        <v>2410</v>
      </c>
      <c r="C15" s="7" t="n">
        <v>0</v>
      </c>
      <c r="D15" s="7" t="n">
        <v>325</v>
      </c>
      <c r="E15" s="7" t="n">
        <v>25</v>
      </c>
      <c r="F15" s="7" t="n">
        <v>60</v>
      </c>
      <c r="G15" s="7" t="n">
        <v>0</v>
      </c>
      <c r="H15" s="7">
        <f>SUM(B15:G15)</f>
        <v/>
      </c>
    </row>
    <row r="16">
      <c r="A16" s="6" t="inlineStr">
        <is>
          <t xml:space="preserve">  Taxes &amp; Licenses</t>
        </is>
      </c>
      <c r="B16" s="7" t="n">
        <v>1853</v>
      </c>
      <c r="C16" s="7" t="n">
        <v>5535</v>
      </c>
      <c r="D16" s="7" t="n">
        <v>5953</v>
      </c>
      <c r="E16" s="7" t="n">
        <v>8410</v>
      </c>
      <c r="F16" s="7" t="n">
        <v>9620</v>
      </c>
      <c r="G16" s="7" t="n">
        <v>0</v>
      </c>
      <c r="H16" s="7">
        <f>SUM(B16:G16)</f>
        <v/>
      </c>
    </row>
    <row r="17">
      <c r="A17" s="6" t="inlineStr">
        <is>
          <t xml:space="preserve">  Other</t>
        </is>
      </c>
      <c r="B17" s="7" t="n">
        <v>252</v>
      </c>
      <c r="C17" s="7" t="n">
        <v>908</v>
      </c>
      <c r="D17" s="7" t="n">
        <v>285</v>
      </c>
      <c r="E17" s="7" t="n">
        <v>617</v>
      </c>
      <c r="F17" s="7" t="n">
        <v>124</v>
      </c>
      <c r="G17" s="7" t="n">
        <v>0</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Apr 14): $170,225</t>
        </is>
      </c>
    </row>
    <row r="26">
      <c r="A26" s="3" t="inlineStr">
        <is>
          <t>QBO YTD Total Expenses: $89,338  |  QBO YTD NOI: $80,887</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3" t="inlineStr">
        <is>
          <t>BOOKED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47</v>
      </c>
      <c r="H6" s="37" t="n">
        <v>68</v>
      </c>
      <c r="I6" s="37" t="n">
        <v>68</v>
      </c>
      <c r="J6" s="37" t="n">
        <v>55</v>
      </c>
      <c r="K6" s="37" t="n">
        <v>54</v>
      </c>
      <c r="L6" s="37" t="n">
        <v>54</v>
      </c>
      <c r="M6" s="37" t="n">
        <v>59</v>
      </c>
      <c r="N6" s="38">
        <f>SUM(B6:M6)</f>
        <v/>
      </c>
    </row>
    <row r="7">
      <c r="A7" s="11" t="inlineStr">
        <is>
          <t>Nights Sold</t>
        </is>
      </c>
      <c r="B7" s="39" t="n">
        <v>140</v>
      </c>
      <c r="C7" s="39" t="n">
        <v>136</v>
      </c>
      <c r="D7" s="39" t="n">
        <v>164</v>
      </c>
      <c r="E7" s="39" t="n">
        <v>151</v>
      </c>
      <c r="F7" s="39" t="n">
        <v>169</v>
      </c>
      <c r="G7" s="39" t="n">
        <v>114</v>
      </c>
      <c r="H7" s="39" t="n">
        <v>171</v>
      </c>
      <c r="I7" s="39" t="n">
        <v>171</v>
      </c>
      <c r="J7" s="39" t="n">
        <v>140</v>
      </c>
      <c r="K7" s="39" t="n">
        <v>137</v>
      </c>
      <c r="L7" s="39" t="n">
        <v>137</v>
      </c>
      <c r="M7" s="39" t="n">
        <v>150</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0.633</v>
      </c>
      <c r="H9" s="41" t="n">
        <v>0.92</v>
      </c>
      <c r="I9" s="41" t="n">
        <v>0.92</v>
      </c>
      <c r="J9" s="41" t="n">
        <v>0.779</v>
      </c>
      <c r="K9" s="41" t="n">
        <v>0.736</v>
      </c>
      <c r="L9" s="41" t="n">
        <v>0.762</v>
      </c>
      <c r="M9" s="41" t="n">
        <v>0.805</v>
      </c>
      <c r="N9" s="42">
        <f>AVERAGE(B9:M9)</f>
        <v/>
      </c>
    </row>
    <row r="10">
      <c r="A10" s="36" t="inlineStr">
        <is>
          <t>ADR</t>
        </is>
      </c>
      <c r="B10" s="43" t="n">
        <v>286</v>
      </c>
      <c r="C10" s="43" t="n">
        <v>398</v>
      </c>
      <c r="D10" s="43" t="n">
        <v>415</v>
      </c>
      <c r="E10" s="43" t="n">
        <v>488</v>
      </c>
      <c r="F10" s="43" t="n">
        <v>472</v>
      </c>
      <c r="G10" s="43" t="n">
        <v>520</v>
      </c>
      <c r="H10" s="43" t="n">
        <v>527</v>
      </c>
      <c r="I10" s="43" t="n">
        <v>506</v>
      </c>
      <c r="J10" s="43" t="n">
        <v>401</v>
      </c>
      <c r="K10" s="43" t="n">
        <v>380</v>
      </c>
      <c r="L10" s="43" t="n">
        <v>380</v>
      </c>
      <c r="M10" s="43" t="n">
        <v>401</v>
      </c>
      <c r="N10" s="44">
        <f>SUM(B10:M10)</f>
        <v/>
      </c>
    </row>
    <row r="11">
      <c r="A11" s="11" t="inlineStr">
        <is>
          <t>RevPAR</t>
        </is>
      </c>
      <c r="B11" s="45" t="n">
        <v>215</v>
      </c>
      <c r="C11" s="45" t="n">
        <v>322</v>
      </c>
      <c r="D11" s="45" t="n">
        <v>366</v>
      </c>
      <c r="E11" s="45" t="n">
        <v>410</v>
      </c>
      <c r="F11" s="45" t="n">
        <v>428</v>
      </c>
      <c r="G11" s="45" t="n">
        <v>330</v>
      </c>
      <c r="H11" s="45" t="n">
        <v>484</v>
      </c>
      <c r="I11" s="45" t="n">
        <v>465</v>
      </c>
      <c r="J11" s="45" t="n">
        <v>312</v>
      </c>
      <c r="K11" s="45" t="n">
        <v>280</v>
      </c>
      <c r="L11" s="45" t="n">
        <v>289</v>
      </c>
      <c r="M11" s="45" t="n">
        <v>323</v>
      </c>
      <c r="N11" s="46">
        <f>SUM(B11:M11)</f>
        <v/>
      </c>
    </row>
    <row r="12">
      <c r="A12" s="21" t="inlineStr">
        <is>
          <t>Gross Revenue</t>
        </is>
      </c>
      <c r="B12" s="47" t="n">
        <v>40041</v>
      </c>
      <c r="C12" s="47" t="n">
        <v>54065</v>
      </c>
      <c r="D12" s="47" t="n">
        <v>68024</v>
      </c>
      <c r="E12" s="47" t="n">
        <v>73746</v>
      </c>
      <c r="F12" s="47" t="n">
        <v>79700</v>
      </c>
      <c r="G12" s="47" t="n">
        <v>59323</v>
      </c>
      <c r="H12" s="47" t="n">
        <v>90117</v>
      </c>
      <c r="I12" s="47" t="n">
        <v>86526</v>
      </c>
      <c r="J12" s="47" t="n">
        <v>56140</v>
      </c>
      <c r="K12" s="47" t="n">
        <v>52060</v>
      </c>
      <c r="L12" s="47" t="n">
        <v>52060</v>
      </c>
      <c r="M12" s="47" t="n">
        <v>60150</v>
      </c>
      <c r="N12" s="44">
        <f>SUM(B12:M12)</f>
        <v/>
      </c>
    </row>
    <row r="13">
      <c r="A13" s="31" t="inlineStr">
        <is>
          <t>Net to Owner</t>
        </is>
      </c>
      <c r="B13" s="48" t="n">
        <v>35785</v>
      </c>
      <c r="C13" s="48" t="n">
        <v>48880</v>
      </c>
      <c r="D13" s="48" t="n">
        <v>61256</v>
      </c>
      <c r="E13" s="48" t="n">
        <v>64778</v>
      </c>
      <c r="F13" s="48" t="n">
        <v>69654</v>
      </c>
      <c r="G13" s="48" t="n">
        <v>51991</v>
      </c>
      <c r="H13" s="48" t="n">
        <v>79619</v>
      </c>
      <c r="I13" s="48" t="n">
        <v>76446</v>
      </c>
      <c r="J13" s="48" t="n">
        <v>49600</v>
      </c>
      <c r="K13" s="48" t="n">
        <v>45995</v>
      </c>
      <c r="L13" s="48" t="n">
        <v>45995</v>
      </c>
      <c r="M13" s="48" t="n">
        <v>53143</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2026-06-06.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Jun</t>
        </is>
      </c>
      <c r="B5" s="50" t="n">
        <v>59323</v>
      </c>
      <c r="C5" s="51" t="n">
        <v>59323</v>
      </c>
      <c r="D5" s="52" t="n">
        <v>1</v>
      </c>
      <c r="E5" s="50" t="n">
        <v>520</v>
      </c>
      <c r="F5" s="50" t="n">
        <v>330</v>
      </c>
      <c r="G5" s="50" t="n">
        <v>0</v>
      </c>
      <c r="H5" s="53" t="inlineStr">
        <is>
          <t>Fully Booked</t>
        </is>
      </c>
    </row>
    <row r="6">
      <c r="A6" s="49" t="inlineStr">
        <is>
          <t>Jul</t>
        </is>
      </c>
      <c r="B6" s="50" t="n">
        <v>90117</v>
      </c>
      <c r="C6" s="51" t="n">
        <v>58248</v>
      </c>
      <c r="D6" s="52" t="n">
        <v>0.6459999999999999</v>
      </c>
      <c r="E6" s="50" t="n">
        <v>640</v>
      </c>
      <c r="F6" s="50" t="n">
        <v>313</v>
      </c>
      <c r="G6" s="50" t="n">
        <v>31869</v>
      </c>
      <c r="H6" s="53" t="inlineStr">
        <is>
          <t>Strong</t>
        </is>
      </c>
    </row>
    <row r="7">
      <c r="A7" s="54" t="inlineStr">
        <is>
          <t>Aug</t>
        </is>
      </c>
      <c r="B7" s="55" t="n">
        <v>86526</v>
      </c>
      <c r="C7" s="56" t="n">
        <v>22376</v>
      </c>
      <c r="D7" s="57" t="n">
        <v>0.259</v>
      </c>
      <c r="E7" s="55" t="n">
        <v>546</v>
      </c>
      <c r="F7" s="55" t="n">
        <v>120</v>
      </c>
      <c r="G7" s="55" t="n">
        <v>64150</v>
      </c>
      <c r="H7" s="58" t="inlineStr">
        <is>
          <t>Building</t>
        </is>
      </c>
    </row>
    <row r="8">
      <c r="A8" s="54" t="inlineStr">
        <is>
          <t>Sep</t>
        </is>
      </c>
      <c r="B8" s="55" t="n">
        <v>56140</v>
      </c>
      <c r="C8" s="56" t="n">
        <v>15257</v>
      </c>
      <c r="D8" s="57" t="n">
        <v>0.272</v>
      </c>
      <c r="E8" s="55" t="n">
        <v>424</v>
      </c>
      <c r="F8" s="55" t="n">
        <v>85</v>
      </c>
      <c r="G8" s="55" t="n">
        <v>40883</v>
      </c>
      <c r="H8" s="58" t="inlineStr">
        <is>
          <t>Building</t>
        </is>
      </c>
    </row>
    <row r="9">
      <c r="A9" s="31" t="inlineStr">
        <is>
          <t>Oct</t>
        </is>
      </c>
      <c r="B9" s="59" t="n">
        <v>52060</v>
      </c>
      <c r="C9" s="46" t="n">
        <v>8517</v>
      </c>
      <c r="D9" s="42" t="n">
        <v>0.164</v>
      </c>
      <c r="E9" s="59" t="n">
        <v>448</v>
      </c>
      <c r="F9" s="59" t="n">
        <v>46</v>
      </c>
      <c r="G9" s="59" t="n">
        <v>43543</v>
      </c>
      <c r="H9" s="11" t="inlineStr">
        <is>
          <t>Early</t>
        </is>
      </c>
    </row>
    <row r="10">
      <c r="A10" s="31" t="inlineStr">
        <is>
          <t>Nov</t>
        </is>
      </c>
      <c r="B10" s="59" t="n">
        <v>52060</v>
      </c>
      <c r="C10" s="46" t="n">
        <v>4267</v>
      </c>
      <c r="D10" s="42" t="n">
        <v>0.08199999999999999</v>
      </c>
      <c r="E10" s="59" t="n">
        <v>474</v>
      </c>
      <c r="F10" s="59" t="n">
        <v>24</v>
      </c>
      <c r="G10" s="59" t="n">
        <v>47793</v>
      </c>
      <c r="H10" s="11" t="inlineStr">
        <is>
          <t>Early</t>
        </is>
      </c>
    </row>
    <row r="11">
      <c r="A11" s="31" t="inlineStr">
        <is>
          <t>Dec</t>
        </is>
      </c>
      <c r="B11" s="59" t="n">
        <v>60150</v>
      </c>
      <c r="C11" s="46" t="n">
        <v>5822</v>
      </c>
      <c r="D11" s="42" t="n">
        <v>0.09699999999999999</v>
      </c>
      <c r="E11" s="59" t="n">
        <v>342</v>
      </c>
      <c r="F11" s="59" t="n">
        <v>31</v>
      </c>
      <c r="G11" s="59" t="n">
        <v>54328</v>
      </c>
      <c r="H11" s="11" t="inlineStr">
        <is>
          <t>Early</t>
        </is>
      </c>
    </row>
    <row r="12">
      <c r="A12" s="60" t="inlineStr">
        <is>
          <t>TOTAL</t>
        </is>
      </c>
      <c r="B12" s="61">
        <f>SUM(B5:B11)</f>
        <v/>
      </c>
      <c r="C12" s="61">
        <f>SUM(C5:C11)</f>
        <v/>
      </c>
      <c r="D12" s="62">
        <f>C12/B12</f>
        <v/>
      </c>
      <c r="E12" s="63" t="n"/>
      <c r="F12" s="63" t="n"/>
      <c r="G12" s="61">
        <f>B12-C12</f>
        <v/>
      </c>
      <c r="H12"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5 months of closed actuals with seasonal projections calibrated from actual performance</t>
        </is>
      </c>
    </row>
    <row r="4">
      <c r="A4" s="19" t="inlineStr"/>
      <c r="B4" s="19" t="inlineStr">
        <is>
          <t>Amount</t>
        </is>
      </c>
      <c r="C4" s="19" t="inlineStr">
        <is>
          <t>% of Gross</t>
        </is>
      </c>
    </row>
    <row r="5">
      <c r="A5" s="8" t="inlineStr">
        <is>
          <t>Gross Revenue</t>
        </is>
      </c>
      <c r="B5" s="9" t="n">
        <v>771952</v>
      </c>
      <c r="C5" s="17" t="n">
        <v>1</v>
      </c>
    </row>
    <row r="6">
      <c r="A6" s="6" t="inlineStr">
        <is>
          <t xml:space="preserve">  OTA Commissions</t>
        </is>
      </c>
      <c r="B6" s="7" t="n">
        <v>-83542</v>
      </c>
      <c r="C6" s="10">
        <f>B6/B5</f>
        <v/>
      </c>
    </row>
    <row r="7">
      <c r="A7" s="6" t="inlineStr">
        <is>
          <t xml:space="preserve">  Processing Fees</t>
        </is>
      </c>
      <c r="B7" s="7" t="n">
        <v>-5268</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-74585</v>
      </c>
      <c r="C11" s="66">
        <f>B11/B5</f>
        <v/>
      </c>
    </row>
    <row r="12">
      <c r="A12" s="6" t="inlineStr">
        <is>
          <t xml:space="preserve">  Supplies, Maintenance, Other</t>
        </is>
      </c>
      <c r="B12" s="7" t="n">
        <v>-121275</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345908</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74879</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5</v>
      </c>
    </row>
    <row r="37">
      <c r="A37" s="6" t="inlineStr">
        <is>
          <t>Baseline ADR (de-seasonalized)</t>
        </is>
      </c>
      <c r="B37" s="7" t="n">
        <v>422</v>
      </c>
    </row>
    <row r="38">
      <c r="A38" s="6" t="inlineStr">
        <is>
          <t>Baseline Occupancy (de-seasonalized)</t>
        </is>
      </c>
      <c r="B38" s="10" t="n">
        <v>0.866</v>
      </c>
    </row>
    <row r="39">
      <c r="A39" s="6" t="inlineStr">
        <is>
          <t>Max Occupancy Cap</t>
        </is>
      </c>
      <c r="B39" s="10" t="n">
        <v>0.92</v>
      </c>
    </row>
    <row r="40">
      <c r="A40" s="6" t="inlineStr">
        <is>
          <t>Back-test MAPE (Gross Revenue)</t>
        </is>
      </c>
      <c r="B40" s="10" t="n">
        <v>0.156</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2026-06-06T15:41:39Z</dcterms:created>
  <dcterms:modified xmlns:dcterms="http://purl.org/dc/terms/" xmlns:xsi="http://www.w3.org/2001/XMLSchema-instance" xsi:type="dcterms:W3CDTF">2026-06-06T15:41:39Z</dcterms:modified>
</cp:coreProperties>
</file>